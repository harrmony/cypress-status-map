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1bfdd9502a704a8/Desktop/cypress-status-map/helper files/"/>
    </mc:Choice>
  </mc:AlternateContent>
  <xr:revisionPtr revIDLastSave="1236" documentId="8_{B5DFC4D7-C722-4758-A364-A58C55140014}" xr6:coauthVersionLast="47" xr6:coauthVersionMax="47" xr10:uidLastSave="{35EE5413-A50D-4AC6-8A76-9DDAD7783CC1}"/>
  <bookViews>
    <workbookView xWindow="-96" yWindow="-96" windowWidth="23232" windowHeight="13872" xr2:uid="{D1E7FBF4-373F-48FB-A19B-B668EC4FD0F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O30" i="1" l="1" a="1"/>
  <c r="CO30" i="1" s="1"/>
  <c r="DM29" i="1" a="1"/>
  <c r="DM29" i="1" s="1"/>
  <c r="CO18" i="1" a="1"/>
  <c r="CO18" i="1" s="1"/>
  <c r="CO19" i="1" a="1"/>
  <c r="CO19" i="1" s="1"/>
  <c r="CO20" i="1" a="1"/>
  <c r="CO20" i="1" s="1"/>
  <c r="CO21" i="1" a="1"/>
  <c r="CO21" i="1" s="1"/>
  <c r="CO22" i="1" a="1"/>
  <c r="CO22" i="1" s="1"/>
  <c r="CO23" i="1" a="1"/>
  <c r="CO23" i="1" s="1"/>
  <c r="CO24" i="1" a="1"/>
  <c r="CO24" i="1" s="1"/>
  <c r="CO25" i="1" a="1"/>
  <c r="CO25" i="1" s="1"/>
  <c r="CO26" i="1" a="1"/>
  <c r="CO26" i="1" s="1"/>
  <c r="CO27" i="1" a="1"/>
  <c r="CO27" i="1" s="1"/>
  <c r="CO28" i="1" a="1"/>
  <c r="CO28" i="1" s="1"/>
  <c r="CO31" i="1" a="1"/>
  <c r="CO31" i="1" s="1"/>
  <c r="CO32" i="1" a="1"/>
  <c r="CO32" i="1" s="1"/>
  <c r="CO33" i="1" a="1"/>
  <c r="CO33" i="1" s="1"/>
  <c r="CO34" i="1" a="1"/>
  <c r="CO34" i="1" s="1"/>
  <c r="CO35" i="1" a="1"/>
  <c r="CO35" i="1" s="1"/>
  <c r="CO36" i="1" a="1"/>
  <c r="CO36" i="1" s="1"/>
  <c r="CO37" i="1" a="1"/>
  <c r="CO37" i="1" s="1"/>
  <c r="CO38" i="1" a="1"/>
  <c r="CO38" i="1" s="1"/>
  <c r="CO39" i="1" a="1"/>
  <c r="CO39" i="1" s="1"/>
  <c r="CO40" i="1" a="1"/>
  <c r="CO40" i="1" s="1"/>
  <c r="CO41" i="1" a="1"/>
  <c r="CO41" i="1" s="1"/>
  <c r="CO42" i="1" a="1"/>
  <c r="CO42" i="1" s="1"/>
  <c r="CO43" i="1" a="1"/>
  <c r="CO43" i="1" s="1"/>
  <c r="CO44" i="1" a="1"/>
  <c r="CO44" i="1" s="1"/>
  <c r="CO45" i="1" a="1"/>
  <c r="CO45" i="1" s="1"/>
  <c r="CO46" i="1" a="1"/>
  <c r="CO46" i="1" s="1"/>
  <c r="CO47" i="1" a="1"/>
  <c r="CO47" i="1" s="1"/>
  <c r="CO48" i="1" a="1"/>
  <c r="CO48" i="1" s="1"/>
  <c r="CO49" i="1" a="1"/>
  <c r="CO49" i="1" s="1"/>
  <c r="CO50" i="1" a="1"/>
  <c r="CO50" i="1" s="1"/>
  <c r="CO51" i="1" a="1"/>
  <c r="CO51" i="1" s="1"/>
  <c r="CO52" i="1" a="1"/>
  <c r="CO52" i="1"/>
  <c r="CO53" i="1" a="1"/>
  <c r="CO53" i="1" s="1"/>
  <c r="CO54" i="1" a="1"/>
  <c r="CO54" i="1" s="1"/>
  <c r="CO55" i="1" a="1"/>
  <c r="CO55" i="1" s="1"/>
  <c r="CO56" i="1" a="1"/>
  <c r="CO56" i="1" s="1"/>
  <c r="CO57" i="1" a="1"/>
  <c r="CO57" i="1" s="1"/>
  <c r="CO58" i="1" a="1"/>
  <c r="CO58" i="1" s="1"/>
  <c r="CO59" i="1" a="1"/>
  <c r="CO59" i="1" s="1"/>
  <c r="CO60" i="1" a="1"/>
  <c r="CO60" i="1" s="1"/>
  <c r="CO61" i="1" a="1"/>
  <c r="CO61" i="1" s="1"/>
  <c r="CO62" i="1" a="1"/>
  <c r="CO62" i="1" s="1"/>
  <c r="CO63" i="1" a="1"/>
  <c r="CO63" i="1" s="1"/>
  <c r="CO64" i="1" a="1"/>
  <c r="CO64" i="1" s="1"/>
  <c r="CO65" i="1" a="1"/>
  <c r="CO65" i="1" s="1"/>
  <c r="CO66" i="1" a="1"/>
  <c r="CO66" i="1" s="1"/>
  <c r="CO67" i="1" a="1"/>
  <c r="CO67" i="1" s="1"/>
  <c r="CO68" i="1" a="1"/>
  <c r="CO68" i="1" s="1"/>
  <c r="CO69" i="1" a="1"/>
  <c r="CO69" i="1" s="1"/>
  <c r="CO70" i="1" a="1"/>
  <c r="CO70" i="1" s="1"/>
  <c r="CO71" i="1" a="1"/>
  <c r="CO71" i="1" s="1"/>
  <c r="CO72" i="1" a="1"/>
  <c r="CO72" i="1" s="1"/>
  <c r="CO73" i="1" a="1"/>
  <c r="CO73" i="1" s="1"/>
  <c r="CO74" i="1" a="1"/>
  <c r="CO74" i="1" s="1"/>
  <c r="CO75" i="1" a="1"/>
  <c r="CO75" i="1" s="1"/>
  <c r="CO76" i="1" a="1"/>
  <c r="CO76" i="1" s="1"/>
  <c r="CO79" i="1" a="1"/>
  <c r="CO79" i="1"/>
  <c r="CO80" i="1" a="1"/>
  <c r="CO80" i="1"/>
  <c r="CO81" i="1" a="1"/>
  <c r="CO81" i="1"/>
  <c r="CO82" i="1" a="1"/>
  <c r="CO82" i="1"/>
  <c r="CO83" i="1" a="1"/>
  <c r="CO83" i="1" s="1"/>
  <c r="CO84" i="1" a="1"/>
  <c r="CO84" i="1" s="1"/>
  <c r="CO85" i="1" a="1"/>
  <c r="CO85" i="1"/>
  <c r="CO86" i="1" a="1"/>
  <c r="CO86" i="1" s="1"/>
  <c r="CO87" i="1" a="1"/>
  <c r="CO87" i="1"/>
  <c r="CO88" i="1" a="1"/>
  <c r="CO88" i="1"/>
  <c r="CO89" i="1" a="1"/>
  <c r="CO89" i="1" s="1"/>
  <c r="CO90" i="1" a="1"/>
  <c r="CO90" i="1" s="1"/>
  <c r="CO91" i="1" a="1"/>
  <c r="CO91" i="1"/>
  <c r="CO92" i="1" a="1"/>
  <c r="CO92" i="1"/>
  <c r="CO93" i="1" a="1"/>
  <c r="CO93" i="1"/>
  <c r="CO94" i="1" a="1"/>
  <c r="CO94" i="1" s="1"/>
  <c r="CO95" i="1" a="1"/>
  <c r="CO95" i="1"/>
  <c r="CO96" i="1" a="1"/>
  <c r="CO96" i="1" s="1"/>
  <c r="CO97" i="1" a="1"/>
  <c r="CO97" i="1" s="1"/>
  <c r="CO98" i="1" a="1"/>
  <c r="CO98" i="1" s="1"/>
  <c r="CO99" i="1" a="1"/>
  <c r="CO99" i="1" s="1"/>
  <c r="CO100" i="1" a="1"/>
  <c r="CO100" i="1" s="1"/>
  <c r="CO101" i="1" a="1"/>
  <c r="CO101" i="1"/>
  <c r="CO102" i="1" a="1"/>
  <c r="CO102" i="1" s="1"/>
  <c r="CO103" i="1" a="1"/>
  <c r="CO103" i="1"/>
  <c r="CO104" i="1" a="1"/>
  <c r="CO104" i="1"/>
  <c r="CO105" i="1" a="1"/>
  <c r="CO105" i="1"/>
  <c r="CO106" i="1" a="1"/>
  <c r="CO106" i="1" s="1"/>
  <c r="CO107" i="1" a="1"/>
  <c r="CO107" i="1"/>
  <c r="CO108" i="1" a="1"/>
  <c r="CO108" i="1" s="1"/>
  <c r="CO109" i="1" a="1"/>
  <c r="CO109" i="1"/>
  <c r="CO110" i="1" a="1"/>
  <c r="CO110" i="1" s="1"/>
  <c r="CO111" i="1" a="1"/>
  <c r="CO111" i="1" s="1"/>
  <c r="CO112" i="1" a="1"/>
  <c r="CO112" i="1" s="1"/>
  <c r="CO113" i="1" a="1"/>
  <c r="CO113" i="1" s="1"/>
  <c r="CO114" i="1" a="1"/>
  <c r="CO114" i="1" s="1"/>
  <c r="CO115" i="1" a="1"/>
  <c r="CO115" i="1" s="1"/>
  <c r="CO116" i="1" a="1"/>
  <c r="CO116" i="1"/>
  <c r="CO117" i="1" a="1"/>
  <c r="CO117" i="1"/>
  <c r="CO118" i="1" a="1"/>
  <c r="CO118" i="1"/>
  <c r="CO119" i="1" a="1"/>
  <c r="CO119" i="1" s="1"/>
  <c r="CO120" i="1" a="1"/>
  <c r="CO120" i="1" s="1"/>
  <c r="CO121" i="1" a="1"/>
  <c r="CO121" i="1"/>
  <c r="CO122" i="1" a="1"/>
  <c r="CO122" i="1" s="1"/>
  <c r="CO123" i="1" a="1"/>
  <c r="CO123" i="1"/>
  <c r="CO124" i="1" a="1"/>
  <c r="CO124" i="1" s="1"/>
  <c r="CO125" i="1" a="1"/>
  <c r="CO125" i="1" s="1"/>
  <c r="CO126" i="1" a="1"/>
  <c r="CO126" i="1"/>
  <c r="CO127" i="1" a="1"/>
  <c r="CO127" i="1" s="1"/>
  <c r="CO128" i="1" a="1"/>
  <c r="CO128" i="1"/>
  <c r="CO129" i="1" a="1"/>
  <c r="CO129" i="1" s="1"/>
  <c r="CO130" i="1" a="1"/>
  <c r="CO130" i="1" s="1"/>
  <c r="CO131" i="1" a="1"/>
  <c r="CO131" i="1"/>
  <c r="CO132" i="1" a="1"/>
  <c r="CO132" i="1"/>
  <c r="CO133" i="1" a="1"/>
  <c r="CO133" i="1"/>
  <c r="CO134" i="1" a="1"/>
  <c r="CO134" i="1"/>
  <c r="CO135" i="1" a="1"/>
  <c r="CO135" i="1" s="1"/>
  <c r="CO136" i="1" a="1"/>
  <c r="CO136" i="1" s="1"/>
  <c r="CO137" i="1" a="1"/>
  <c r="CO137" i="1"/>
  <c r="CO138" i="1" a="1"/>
  <c r="CO138" i="1" s="1"/>
  <c r="CO139" i="1" a="1"/>
  <c r="CO139" i="1" s="1"/>
  <c r="CO140" i="1" a="1"/>
  <c r="CO140" i="1"/>
  <c r="CO141" i="1" a="1"/>
  <c r="CO141" i="1" s="1"/>
  <c r="CO142" i="1" a="1"/>
  <c r="CO142" i="1"/>
  <c r="CO143" i="1" a="1"/>
  <c r="CO143" i="1" s="1"/>
  <c r="CO144" i="1" a="1"/>
  <c r="CO144" i="1"/>
  <c r="CO145" i="1" a="1"/>
  <c r="CO145" i="1"/>
  <c r="CO146" i="1" a="1"/>
  <c r="CO146" i="1"/>
  <c r="CO147" i="1" a="1"/>
  <c r="CO147" i="1" s="1"/>
  <c r="CO148" i="1" a="1"/>
  <c r="CO148" i="1"/>
  <c r="CO149" i="1" a="1"/>
  <c r="CO149" i="1"/>
  <c r="CO150" i="1" a="1"/>
  <c r="CO150" i="1" s="1"/>
  <c r="CO151" i="1" a="1"/>
  <c r="CO151" i="1"/>
  <c r="CO152" i="1" a="1"/>
  <c r="CO152" i="1" s="1"/>
  <c r="CO153" i="1" a="1"/>
  <c r="CO153" i="1" s="1"/>
  <c r="CO154" i="1" a="1"/>
  <c r="CO154" i="1"/>
  <c r="CO155" i="1" a="1"/>
  <c r="CO155" i="1" s="1"/>
  <c r="CO156" i="1" a="1"/>
  <c r="CO156" i="1"/>
  <c r="CO157" i="1" a="1"/>
  <c r="CO157" i="1" s="1"/>
  <c r="CO158" i="1" a="1"/>
  <c r="CO158" i="1" s="1"/>
  <c r="CO159" i="1" a="1"/>
  <c r="CO159" i="1"/>
  <c r="CO160" i="1" a="1"/>
  <c r="CO160" i="1" s="1"/>
  <c r="CO161" i="1" a="1"/>
  <c r="CO161" i="1"/>
  <c r="CO162" i="1" a="1"/>
  <c r="CO162" i="1"/>
  <c r="CO163" i="1" a="1"/>
  <c r="CO163" i="1" s="1"/>
  <c r="CO164" i="1" a="1"/>
  <c r="CO164" i="1" s="1"/>
  <c r="CO165" i="1" a="1"/>
  <c r="CO165" i="1" s="1"/>
  <c r="CO166" i="1" a="1"/>
  <c r="CO166" i="1"/>
  <c r="CO167" i="1" a="1"/>
  <c r="CO167" i="1" s="1"/>
  <c r="CO168" i="1" a="1"/>
  <c r="CO168" i="1"/>
  <c r="CO169" i="1" a="1"/>
  <c r="CO169" i="1" s="1"/>
  <c r="CO170" i="1" a="1"/>
  <c r="CO170" i="1" s="1"/>
  <c r="CO171" i="1" a="1"/>
  <c r="CO171" i="1"/>
  <c r="CO172" i="1" a="1"/>
  <c r="CO172" i="1"/>
  <c r="CO173" i="1" a="1"/>
  <c r="CO173" i="1" s="1"/>
  <c r="CO174" i="1" a="1"/>
  <c r="CO174" i="1" s="1"/>
  <c r="CO175" i="1" a="1"/>
  <c r="CO175" i="1"/>
  <c r="CO176" i="1" a="1"/>
  <c r="CO176" i="1"/>
  <c r="CO177" i="1" a="1"/>
  <c r="CO177" i="1"/>
  <c r="CO178" i="1" a="1"/>
  <c r="CO178" i="1" s="1"/>
  <c r="CO179" i="1" a="1"/>
  <c r="CO179" i="1"/>
  <c r="CO180" i="1" a="1"/>
  <c r="CO180" i="1" s="1"/>
  <c r="CO181" i="1" a="1"/>
  <c r="CO181" i="1" s="1"/>
  <c r="CO182" i="1" a="1"/>
  <c r="CO182" i="1"/>
  <c r="CO183" i="1" a="1"/>
  <c r="CO183" i="1"/>
  <c r="CO184" i="1" a="1"/>
  <c r="CO184" i="1"/>
  <c r="CO185" i="1" a="1"/>
  <c r="CO185" i="1" s="1"/>
  <c r="CO186" i="1" a="1"/>
  <c r="CO186" i="1"/>
  <c r="CO187" i="1" a="1"/>
  <c r="CO187" i="1"/>
  <c r="CO188" i="1" a="1"/>
  <c r="CO188" i="1"/>
  <c r="CO189" i="1" a="1"/>
  <c r="CO189" i="1"/>
  <c r="CO190" i="1" a="1"/>
  <c r="CO190" i="1" s="1"/>
  <c r="CO191" i="1" a="1"/>
  <c r="CO191" i="1"/>
  <c r="CO192" i="1" a="1"/>
  <c r="CO192" i="1" s="1"/>
  <c r="CO193" i="1" a="1"/>
  <c r="CO193" i="1"/>
  <c r="CO194" i="1" a="1"/>
  <c r="CO194" i="1"/>
  <c r="CO195" i="1" a="1"/>
  <c r="CO195" i="1"/>
  <c r="CO196" i="1" a="1"/>
  <c r="CO196" i="1" s="1"/>
  <c r="CO197" i="1" a="1"/>
  <c r="CO197" i="1" s="1"/>
  <c r="CO198" i="1" a="1"/>
  <c r="CO198" i="1"/>
  <c r="CO199" i="1" a="1"/>
  <c r="CO199" i="1"/>
  <c r="CO200" i="1" a="1"/>
  <c r="CO200" i="1" s="1"/>
  <c r="CO201" i="1" a="1"/>
  <c r="CO201" i="1"/>
  <c r="CO202" i="1" a="1"/>
  <c r="CO202" i="1" s="1"/>
  <c r="CO203" i="1" a="1"/>
  <c r="CO203" i="1" s="1"/>
  <c r="CO204" i="1" a="1"/>
  <c r="CO204" i="1" s="1"/>
  <c r="CO205" i="1" a="1"/>
  <c r="CO205" i="1" s="1"/>
  <c r="CO16" i="1" a="1"/>
  <c r="CO16" i="1" s="1"/>
  <c r="CO17" i="1" a="1"/>
  <c r="CO17" i="1" s="1"/>
  <c r="AF13" i="1" a="1"/>
  <c r="AF13" i="1"/>
  <c r="AF14" i="1" a="1"/>
  <c r="AF14" i="1" s="1"/>
  <c r="AF15" i="1" a="1"/>
  <c r="AF15" i="1"/>
  <c r="AF8" i="1" a="1"/>
  <c r="AF8" i="1" s="1"/>
  <c r="AF9" i="1" a="1"/>
  <c r="AF9" i="1" s="1"/>
  <c r="AF10" i="1" a="1"/>
  <c r="AF10" i="1" s="1"/>
  <c r="AF11" i="1" a="1"/>
  <c r="AF11" i="1" s="1"/>
  <c r="AF12" i="1" a="1"/>
  <c r="AF12" i="1" s="1"/>
  <c r="AF7" i="1" a="1"/>
  <c r="AF7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<sst xmlns="http://schemas.openxmlformats.org/spreadsheetml/2006/main" count="118" uniqueCount="117">
  <si>
    <t>Coordinates</t>
  </si>
  <si>
    <t>Lifts</t>
  </si>
  <si>
    <t>Start</t>
  </si>
  <si>
    <t>Eagle Express</t>
  </si>
  <si>
    <t>Lions Express</t>
  </si>
  <si>
    <t>Raven Ridge</t>
  </si>
  <si>
    <t>Easy Rider</t>
  </si>
  <si>
    <t>Sky Quad</t>
  </si>
  <si>
    <t>Midway Chair</t>
  </si>
  <si>
    <t>Trials</t>
  </si>
  <si>
    <t>Panorama</t>
  </si>
  <si>
    <t>Windjammer</t>
  </si>
  <si>
    <t>Fork</t>
  </si>
  <si>
    <t>Lower Fork</t>
  </si>
  <si>
    <t>PGS</t>
  </si>
  <si>
    <t>Cascade</t>
  </si>
  <si>
    <t>Unrun</t>
  </si>
  <si>
    <t>Collins</t>
  </si>
  <si>
    <t>Horizon</t>
  </si>
  <si>
    <t>Humpty Dumpty</t>
  </si>
  <si>
    <t>Cat Track (upper)</t>
  </si>
  <si>
    <t>Primary Power</t>
  </si>
  <si>
    <t>Horizon By-Pass</t>
  </si>
  <si>
    <t>Lower Bowen</t>
  </si>
  <si>
    <t>Hutch</t>
  </si>
  <si>
    <t>Rainbow</t>
  </si>
  <si>
    <t>Cat Track (lower)</t>
  </si>
  <si>
    <t>Benny's</t>
  </si>
  <si>
    <t>Crazy Raven</t>
  </si>
  <si>
    <t>Lower Coyote 7</t>
  </si>
  <si>
    <t>3 Bears</t>
  </si>
  <si>
    <t>Rideout</t>
  </si>
  <si>
    <t>Shore Line</t>
  </si>
  <si>
    <t>Runway</t>
  </si>
  <si>
    <t>T-33</t>
  </si>
  <si>
    <t>Horsefly Canyon</t>
  </si>
  <si>
    <t>Glades</t>
  </si>
  <si>
    <t>Tomcat</t>
  </si>
  <si>
    <t>Ripcord</t>
  </si>
  <si>
    <t>Shuttle</t>
  </si>
  <si>
    <t>Blaster</t>
  </si>
  <si>
    <t>Hut Run</t>
  </si>
  <si>
    <t>Webb-Site</t>
  </si>
  <si>
    <t>Ski School Flats</t>
  </si>
  <si>
    <t>Sitzmark</t>
  </si>
  <si>
    <t>Sitzmark (backside)</t>
  </si>
  <si>
    <t>Lower Telemark</t>
  </si>
  <si>
    <t>Lower Wells Grey</t>
  </si>
  <si>
    <t>Cross Glades</t>
  </si>
  <si>
    <t>Old Rope Tow</t>
  </si>
  <si>
    <t>Burfield</t>
  </si>
  <si>
    <t>Hollyburn</t>
  </si>
  <si>
    <t>Lower Powerline</t>
  </si>
  <si>
    <t>Roller Coaster</t>
  </si>
  <si>
    <t>Sidewinder</t>
  </si>
  <si>
    <t>Upper Powerline</t>
  </si>
  <si>
    <t>Pop Fly</t>
  </si>
  <si>
    <t>Russel</t>
  </si>
  <si>
    <t>Brothers Canyon West</t>
  </si>
  <si>
    <t>Triangle Lake</t>
  </si>
  <si>
    <t>Triangle Meadows</t>
  </si>
  <si>
    <t>Pacific</t>
  </si>
  <si>
    <t>Romstad</t>
  </si>
  <si>
    <t>Trumpeter</t>
  </si>
  <si>
    <t>Lower Trumpeter</t>
  </si>
  <si>
    <t>Hose Side</t>
  </si>
  <si>
    <t>B-Hip</t>
  </si>
  <si>
    <t>Blow-By</t>
  </si>
  <si>
    <t>Detention Glades</t>
  </si>
  <si>
    <t>Upper Bowen</t>
  </si>
  <si>
    <t>Bowen Face</t>
  </si>
  <si>
    <t>Gibsons</t>
  </si>
  <si>
    <t>Upper Rainbow</t>
  </si>
  <si>
    <t>Bowen West</t>
  </si>
  <si>
    <t>Slash</t>
  </si>
  <si>
    <t>Moons</t>
  </si>
  <si>
    <t>L.T.D. Glades</t>
  </si>
  <si>
    <t>Elevator Glades</t>
  </si>
  <si>
    <t>Darkside Glades</t>
  </si>
  <si>
    <t>Crater Glades</t>
  </si>
  <si>
    <t>Bowen West Glades</t>
  </si>
  <si>
    <t>Under the Volcano Glades</t>
  </si>
  <si>
    <t>Gibson Glades</t>
  </si>
  <si>
    <t>Bilodeau's Gold</t>
  </si>
  <si>
    <t>Upper Coyote 7</t>
  </si>
  <si>
    <t>First Sun</t>
  </si>
  <si>
    <t>Shore Glades</t>
  </si>
  <si>
    <t>Black on Black</t>
  </si>
  <si>
    <t>Meteor</t>
  </si>
  <si>
    <t>Black Fly</t>
  </si>
  <si>
    <t>Top Gun</t>
  </si>
  <si>
    <t>Jack Rabbit Loop</t>
  </si>
  <si>
    <t>Zig-Zag</t>
  </si>
  <si>
    <t>Upper Telemark</t>
  </si>
  <si>
    <t>Upper Wells Grey</t>
  </si>
  <si>
    <t>Connector</t>
  </si>
  <si>
    <t>Brothers Pass</t>
  </si>
  <si>
    <t>Upper Mobratten</t>
  </si>
  <si>
    <t>Five Lakes</t>
  </si>
  <si>
    <t>Unknown Lake</t>
  </si>
  <si>
    <t>4th Lake</t>
  </si>
  <si>
    <t>Jack Pratt</t>
  </si>
  <si>
    <t>Grand National</t>
  </si>
  <si>
    <t>Brothers Canyon East</t>
  </si>
  <si>
    <t>Lower Mobratten</t>
  </si>
  <si>
    <t>West Lake</t>
  </si>
  <si>
    <t xml:space="preserve">    {
      "kind": "trail",
      "name": "Windjammer",
      "tension": 0.8,
      "points": [
        [490, 573],
        [520, 523],
        [529, 513],
        [548, 507],
        [594, 503],
        [623, 498],
        [676, 477],
        [718, 458],
        [746, 443],
        [761, 431]
      ]
    },</t>
  </si>
  <si>
    <t xml:space="preserve">    {
      "kind": "trail",
      "name": "Fork",
      "tension": 0.8,
      "points": [
        [707, 753],
        [769, 717],
        [793, 708],
        [817, 692],
        [825, 676],
        [813, 654],
        [800, 635],
        [798, 627],
        [806, 613],
        [843, 579],
        [854, 579],
        [854, 567],
        [870, 541],
        [890, 501]
      ]
    },</t>
  </si>
  <si>
    <t xml:space="preserve">    {
      "kind": "trail",
      "name": "Lower Fork",
      "tension": 0.8,
      "points": [
        [890, 501],
        [903, 480],
        [921, 445],
        [930, 417],
        [932, 387],
        [930, 372]
      ]
    },</t>
  </si>
  <si>
    <t xml:space="preserve">    {
      "kind": "trail",
      "name": "PGS",
      "tension": 0.8,
      "points": [
        [752, 717],
        [747, 701],
        [747, 688],
        [750, 681],
        [761, 666],
        [775, 640],
        [785, 615],
        [789, 595],
        [791, 559],
        [787, 541],
        [780, 528]
      ]
    },</t>
  </si>
  <si>
    <t xml:space="preserve">    {
      "kind": "trail",
      "name": "Cascade",
      "tension": 0.8,
      "points": [
        [853, 537],
        [863, 510],
        [865, 487],
        [865, 476],
        [872, 458],
        [888, 426],
        [909, 387],
        [925, 362]
      ]
    },</t>
  </si>
  <si>
    <t xml:space="preserve">    {
      "kind": "trail",
      "name": "Unrun",
      "tension": 0.8,
      "points": [
        [673, 757],
        [648, 747],
        [635, 740],
        [616, 736],
        [594, 734],
        [579, 732],
        [563, 726]
      ]
    },</t>
  </si>
  <si>
    <t xml:space="preserve">    {
      "kind": "trail",
      "name": "Trumpeter",
      "tension": 0.8,
      "points": [
        [694, 731],
        [710, 699],
        [720, 674],
        [726, 662],
        [730, 640],
        [734, 620],
        [743, 598],
        [751, 578],
        [761, 559],
        [770, 540]
      ]
    },</t>
  </si>
  <si>
    <t xml:space="preserve">    {
      "kind": "trail",
      "name": "Lower Trumpeter",
      "tension": 0.8,
      "points": [
        [793, 515],
        [822, 469],
        [849, 428]
      ]
    },</t>
  </si>
  <si>
    <t xml:space="preserve">    {
      "kind": "trail",
      "name": "Hose Side",
      "tension": 0.8,
      "points": [
        [701, 669],
        [698, 648],
        [701, 625],
        [709, 596],
        [716, 569],
        [718, 562],
        [718, 554]
      ]
    },</t>
  </si>
  <si>
    <t xml:space="preserve">    {
      "kind": "trail",
      "name": "B-Hip",
      "tension": 0.8,
      "points": [
        [686, 741],
        [689, 711],
        [689, 682],
        [685, 665],
        [680, 649],
        [672, 613],
        [669, 589],
        [674, 573],
        [681, 562]
      ]
    },</t>
  </si>
  <si>
    <t>NORDIC SKIING RUNS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</si>
</sst>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4"/>
      <color rgb="FFCCCCCC"/>
      <name val="Consolas"/>
      <family val="3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/>
    <xf numFmtId="0" fontId="3" fillId="2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D1BF2-FADC-400F-BED1-17B139E741E1}">
  <dimension ref="B3:DM205"/>
  <sheetViews>
    <sheetView tabSelected="1" topLeftCell="A16" zoomScale="91" workbookViewId="0">
      <selection activeCell="C36" sqref="C36"/>
    </sheetView>
  </sheetViews>
  <sheetFormatPr defaultRowHeight="14.4" x14ac:dyDescent="0.55000000000000004"/>
  <cols>
    <col min="2" max="2" width="25.3125" customWidth="1"/>
    <col min="3" max="4" width="6.5234375" style="3" customWidth="1"/>
    <col min="5" max="5" width="1.7890625" style="3" customWidth="1"/>
    <col min="6" max="7" width="6.5234375" style="3" customWidth="1"/>
    <col min="8" max="8" width="1.7890625" style="3" customWidth="1"/>
    <col min="9" max="10" width="6.5234375" style="3" customWidth="1"/>
    <col min="11" max="11" width="1.7890625" style="3" customWidth="1"/>
    <col min="12" max="13" width="6.5234375" style="3" customWidth="1"/>
    <col min="14" max="14" width="1.7890625" style="3" customWidth="1"/>
    <col min="15" max="16" width="6.5234375" style="3" customWidth="1"/>
    <col min="17" max="17" width="1.7890625" style="3" customWidth="1"/>
    <col min="18" max="19" width="6.5234375" style="3" customWidth="1"/>
    <col min="20" max="20" width="1.7890625" style="3" customWidth="1"/>
    <col min="21" max="22" width="6.5234375" style="3" customWidth="1"/>
    <col min="23" max="23" width="1.7890625" style="3" customWidth="1"/>
    <col min="24" max="25" width="6.5234375" style="3" customWidth="1"/>
    <col min="26" max="26" width="1.7890625" style="3" customWidth="1"/>
    <col min="27" max="28" width="6.5234375" style="3" customWidth="1"/>
    <col min="29" max="29" width="1.7890625" style="3" customWidth="1"/>
    <col min="30" max="31" width="6.5234375" style="3" customWidth="1"/>
    <col min="32" max="32" width="1.68359375" customWidth="1"/>
    <col min="33" max="34" width="6.5234375" customWidth="1"/>
    <col min="35" max="35" width="1.68359375" customWidth="1"/>
    <col min="36" max="37" width="6.5234375" customWidth="1"/>
    <col min="38" max="38" width="1.68359375" customWidth="1"/>
    <col min="39" max="40" width="6.5234375" customWidth="1"/>
    <col min="41" max="41" width="1.68359375" customWidth="1"/>
    <col min="42" max="43" width="6.5234375" customWidth="1"/>
    <col min="44" max="44" width="1.68359375" customWidth="1"/>
    <col min="45" max="46" width="6.5234375" customWidth="1"/>
    <col min="47" max="47" width="1.68359375" customWidth="1"/>
    <col min="48" max="49" width="6.5234375" customWidth="1"/>
    <col min="50" max="50" width="1.68359375" customWidth="1"/>
    <col min="51" max="52" width="6.5234375" customWidth="1"/>
    <col min="53" max="53" width="1.68359375" customWidth="1"/>
    <col min="54" max="55" width="6.5234375" customWidth="1"/>
    <col min="56" max="56" width="1.68359375" customWidth="1"/>
    <col min="57" max="58" width="6.5234375" customWidth="1"/>
    <col min="59" max="59" width="1.68359375" customWidth="1"/>
    <col min="60" max="61" width="6.5234375" customWidth="1"/>
    <col min="62" max="62" width="1.68359375" customWidth="1"/>
    <col min="63" max="64" width="6.5234375" customWidth="1"/>
    <col min="65" max="65" width="1.68359375" customWidth="1"/>
    <col min="66" max="67" width="6.5234375" customWidth="1"/>
    <col min="68" max="68" width="1.68359375" customWidth="1"/>
    <col min="69" max="70" width="6.5234375" customWidth="1"/>
    <col min="71" max="71" width="1.68359375" customWidth="1"/>
    <col min="72" max="73" width="6.5234375" customWidth="1"/>
    <col min="74" max="74" width="1.68359375" customWidth="1"/>
    <col min="75" max="76" width="6.5234375" customWidth="1"/>
    <col min="77" max="77" width="1.68359375" customWidth="1"/>
    <col min="78" max="79" width="6.5234375" customWidth="1"/>
    <col min="80" max="80" width="1.68359375" customWidth="1"/>
    <col min="81" max="82" width="6.5234375" customWidth="1"/>
    <col min="83" max="83" width="1.68359375" customWidth="1"/>
    <col min="84" max="85" width="6.5234375" customWidth="1"/>
    <col min="86" max="86" width="1.68359375" customWidth="1"/>
    <col min="87" max="88" width="6.5234375" customWidth="1"/>
    <col min="89" max="89" width="1.68359375" customWidth="1"/>
    <col min="90" max="91" width="6.5234375" customWidth="1"/>
    <col min="92" max="92" width="1.68359375" customWidth="1"/>
    <col min="93" max="94" width="8.83984375" style="7"/>
  </cols>
  <sheetData>
    <row r="3" spans="2:93" x14ac:dyDescent="0.55000000000000004">
      <c r="B3" t="s">
        <v>0</v>
      </c>
    </row>
    <row r="5" spans="2:93" x14ac:dyDescent="0.55000000000000004">
      <c r="C5" s="3" t="s">
        <v>2</v>
      </c>
      <c r="D5" s="3" t="s">
        <v>2</v>
      </c>
      <c r="F5" s="3">
        <v>2</v>
      </c>
      <c r="G5" s="3">
        <v>2</v>
      </c>
      <c r="I5" s="3">
        <v>3</v>
      </c>
      <c r="J5" s="3">
        <v>3</v>
      </c>
      <c r="L5" s="3">
        <v>4</v>
      </c>
      <c r="M5" s="3">
        <v>4</v>
      </c>
      <c r="O5" s="3">
        <v>5</v>
      </c>
      <c r="P5" s="3">
        <v>5</v>
      </c>
      <c r="R5" s="3">
        <v>6</v>
      </c>
      <c r="S5" s="3">
        <v>6</v>
      </c>
      <c r="U5" s="3">
        <v>7</v>
      </c>
      <c r="V5" s="3">
        <v>7</v>
      </c>
      <c r="X5" s="3">
        <v>8</v>
      </c>
      <c r="Y5" s="3">
        <v>8</v>
      </c>
      <c r="AA5" s="3">
        <v>9</v>
      </c>
      <c r="AB5" s="3">
        <v>9</v>
      </c>
      <c r="AD5" s="3">
        <v>10</v>
      </c>
      <c r="AE5" s="3">
        <v>10</v>
      </c>
      <c r="AG5" s="3">
        <v>11</v>
      </c>
      <c r="AH5" s="3">
        <v>11</v>
      </c>
      <c r="AJ5" s="3">
        <v>12</v>
      </c>
      <c r="AK5" s="3">
        <v>12</v>
      </c>
      <c r="AM5" s="3">
        <v>13</v>
      </c>
      <c r="AN5" s="3">
        <v>13</v>
      </c>
      <c r="AP5" s="3">
        <v>14</v>
      </c>
      <c r="AQ5" s="3">
        <v>14</v>
      </c>
      <c r="AS5" s="3">
        <v>15</v>
      </c>
      <c r="AT5" s="3">
        <v>15</v>
      </c>
      <c r="AV5" s="3">
        <v>16</v>
      </c>
      <c r="AW5" s="3">
        <v>16</v>
      </c>
      <c r="AY5" s="3">
        <v>17</v>
      </c>
      <c r="AZ5" s="3">
        <v>17</v>
      </c>
      <c r="BB5" s="3">
        <v>18</v>
      </c>
      <c r="BC5" s="3">
        <v>18</v>
      </c>
      <c r="BE5" s="3">
        <v>19</v>
      </c>
      <c r="BF5" s="3">
        <v>19</v>
      </c>
      <c r="BH5" s="3">
        <v>20</v>
      </c>
      <c r="BI5" s="3">
        <v>20</v>
      </c>
      <c r="BK5" s="3">
        <v>21</v>
      </c>
      <c r="BL5" s="3">
        <v>21</v>
      </c>
      <c r="BN5" s="3">
        <v>22</v>
      </c>
      <c r="BO5" s="3">
        <v>22</v>
      </c>
      <c r="BQ5" s="3">
        <v>23</v>
      </c>
      <c r="BR5" s="3">
        <v>23</v>
      </c>
      <c r="BT5" s="3">
        <v>24</v>
      </c>
      <c r="BU5" s="3">
        <v>24</v>
      </c>
      <c r="BW5" s="3">
        <v>25</v>
      </c>
      <c r="BX5" s="3">
        <v>25</v>
      </c>
      <c r="BZ5" s="3">
        <v>26</v>
      </c>
      <c r="CA5" s="3">
        <v>26</v>
      </c>
      <c r="CC5" s="3">
        <v>27</v>
      </c>
      <c r="CD5" s="3">
        <v>27</v>
      </c>
      <c r="CF5" s="3">
        <v>28</v>
      </c>
      <c r="CG5" s="3">
        <v>28</v>
      </c>
      <c r="CI5" s="3">
        <v>29</v>
      </c>
      <c r="CJ5" s="3">
        <v>29</v>
      </c>
      <c r="CL5" s="3">
        <v>30</v>
      </c>
      <c r="CM5" s="3">
        <v>30</v>
      </c>
    </row>
    <row r="6" spans="2:93" x14ac:dyDescent="0.55000000000000004">
      <c r="B6" s="6" t="s">
        <v>1</v>
      </c>
    </row>
    <row r="7" spans="2:93" x14ac:dyDescent="0.55000000000000004">
      <c r="B7" s="2" t="s">
        <v>3</v>
      </c>
      <c r="C7" s="3">
        <v>915</v>
      </c>
      <c r="D7" s="3">
        <v>352</v>
      </c>
      <c r="F7" s="3">
        <v>693</v>
      </c>
      <c r="G7" s="3">
        <v>750</v>
      </c>
      <c r="AF7" t="str" cm="1">
        <f t="array" ref="AF7">IF(C7="","",
_xlfn.LET(
  _xlpm.name, B7,
  _xlpm.r, C7:AE7,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_xlpm.coords, _xlfn.TEXTJOIN(", ", TRUE, _xlfn.BYROW(_xlpm.good, _xlfn.LAMBDA(_xlpm.x, "[["&amp;_xlfn.TEXTJOIN("], [", TRUE, _xlpm.x)&amp;"]]"))),
  "    {"&amp;CHAR(10)&amp;
  "      ""type"": ""Feature"","&amp;CHAR(10)&amp;
  "      ""properties"": { ""kind"": ""lift"", ""name"": """&amp;_xlpm.name&amp;""" },"&amp;CHAR(10)&amp;
  "      ""geometry"": { ""type"": ""LineString"", ""coordinates"": ["&amp;
     _xlfn.TEXTJOIN(", ", TRUE, _xlfn.BYROW(_xlpm.good, _xlfn.LAMBDA(_xlpm.x, "["&amp;_xlfn.TEXTJOIN(", ", TRUE, _xlpm.x)&amp;"]")))
  &amp;"] }"&amp;CHAR(10)&amp;
  "    },"
))</f>
        <v xml:space="preserve">    {
      "type": "Feature",
      "properties": { "kind": "lift", "name": "Eagle Express" },
      "geometry": { "type": "LineString", "coordinates": [[915, 352], [693, 750]] }
    },</v>
      </c>
    </row>
    <row r="8" spans="2:93" x14ac:dyDescent="0.55000000000000004">
      <c r="B8" s="2" t="s">
        <v>4</v>
      </c>
      <c r="C8" s="3">
        <v>1562</v>
      </c>
      <c r="D8" s="3">
        <v>232</v>
      </c>
      <c r="F8" s="3">
        <v>1483</v>
      </c>
      <c r="G8" s="3">
        <v>577</v>
      </c>
      <c r="I8" s="3">
        <v>1429</v>
      </c>
      <c r="J8" s="3">
        <v>664</v>
      </c>
      <c r="AF8" t="str" cm="1">
        <f t="array" ref="AF8">IF(C8="","",
_xlfn.LET(
  _xlpm.name, B8,
  _xlpm.r, C8:AE8,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_xlpm.coords, _xlfn.TEXTJOIN(", ", TRUE, _xlfn.BYROW(_xlpm.good, _xlfn.LAMBDA(_xlpm.x, "[["&amp;_xlfn.TEXTJOIN("], [", TRUE, _xlpm.x)&amp;"]]"))),
  "    {"&amp;CHAR(10)&amp;
  "      ""type"": ""Feature"","&amp;CHAR(10)&amp;
  "      ""properties"": { ""kind"": ""lift"", ""name"": """&amp;_xlpm.name&amp;""" },"&amp;CHAR(10)&amp;
  "      ""geometry"": { ""type"": ""LineString"", ""coordinates"": ["&amp;
     _xlfn.TEXTJOIN(", ", TRUE, _xlfn.BYROW(_xlpm.good, _xlfn.LAMBDA(_xlpm.x, "["&amp;_xlfn.TEXTJOIN(", ", TRUE, _xlpm.x)&amp;"]")))
  &amp;"] }"&amp;CHAR(10)&amp;
  "    },"
))</f>
        <v xml:space="preserve">    {
      "type": "Feature",
      "properties": { "kind": "lift", "name": "Lions Express" },
      "geometry": { "type": "LineString", "coordinates": [[1562, 232], [1483, 577], [1429, 664]] }
    },</v>
      </c>
    </row>
    <row r="9" spans="2:93" x14ac:dyDescent="0.55000000000000004">
      <c r="B9" s="2" t="s">
        <v>5</v>
      </c>
      <c r="C9" s="3">
        <v>102</v>
      </c>
      <c r="D9" s="3">
        <v>286</v>
      </c>
      <c r="F9" s="3">
        <v>314</v>
      </c>
      <c r="G9" s="3">
        <v>500</v>
      </c>
      <c r="I9" s="3">
        <v>509</v>
      </c>
      <c r="J9" s="3">
        <v>731</v>
      </c>
      <c r="AF9" t="str" cm="1">
        <f t="array" ref="AF9">IF(C9="","",
_xlfn.LET(
  _xlpm.name, B9,
  _xlpm.r, C9:AE9,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_xlpm.coords, _xlfn.TEXTJOIN(", ", TRUE, _xlfn.BYROW(_xlpm.good, _xlfn.LAMBDA(_xlpm.x, "[["&amp;_xlfn.TEXTJOIN("], [", TRUE, _xlpm.x)&amp;"]]"))),
  "    {"&amp;CHAR(10)&amp;
  "      ""type"": ""Feature"","&amp;CHAR(10)&amp;
  "      ""properties"": { ""kind"": ""lift"", ""name"": """&amp;_xlpm.name&amp;""" },"&amp;CHAR(10)&amp;
  "      ""geometry"": { ""type"": ""LineString"", ""coordinates"": ["&amp;
     _xlfn.TEXTJOIN(", ", TRUE, _xlfn.BYROW(_xlpm.good, _xlfn.LAMBDA(_xlpm.x, "["&amp;_xlfn.TEXTJOIN(", ", TRUE, _xlpm.x)&amp;"]")))
  &amp;"] }"&amp;CHAR(10)&amp;
  "    },"
))</f>
        <v xml:space="preserve">    {
      "type": "Feature",
      "properties": { "kind": "lift", "name": "Raven Ridge" },
      "geometry": { "type": "LineString", "coordinates": [[102, 286], [314, 500], [509, 731]] }
    },</v>
      </c>
    </row>
    <row r="10" spans="2:93" x14ac:dyDescent="0.55000000000000004">
      <c r="B10" s="2" t="s">
        <v>6</v>
      </c>
      <c r="C10" s="3">
        <v>1717</v>
      </c>
      <c r="D10" s="3">
        <v>241</v>
      </c>
      <c r="F10" s="3">
        <v>1818</v>
      </c>
      <c r="G10" s="3">
        <v>351</v>
      </c>
      <c r="AF10" t="str" cm="1">
        <f t="array" ref="AF10">IF(C10="","",
_xlfn.LET(
  _xlpm.name, B10,
  _xlpm.r, C10:AE10,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_xlpm.coords, _xlfn.TEXTJOIN(", ", TRUE, _xlfn.BYROW(_xlpm.good, _xlfn.LAMBDA(_xlpm.x, "[["&amp;_xlfn.TEXTJOIN("], [", TRUE, _xlpm.x)&amp;"]]"))),
  "    {"&amp;CHAR(10)&amp;
  "      ""type"": ""Feature"","&amp;CHAR(10)&amp;
  "      ""properties"": { ""kind"": ""lift"", ""name"": """&amp;_xlpm.name&amp;""" },"&amp;CHAR(10)&amp;
  "      ""geometry"": { ""type"": ""LineString"", ""coordinates"": ["&amp;
     _xlfn.TEXTJOIN(", ", TRUE, _xlfn.BYROW(_xlpm.good, _xlfn.LAMBDA(_xlpm.x, "["&amp;_xlfn.TEXTJOIN(", ", TRUE, _xlpm.x)&amp;"]")))
  &amp;"] }"&amp;CHAR(10)&amp;
  "    },"
))</f>
        <v xml:space="preserve">    {
      "type": "Feature",
      "properties": { "kind": "lift", "name": "Easy Rider" },
      "geometry": { "type": "LineString", "coordinates": [[1717, 241], [1818, 351]] }
    },</v>
      </c>
    </row>
    <row r="11" spans="2:93" x14ac:dyDescent="0.55000000000000004">
      <c r="B11" s="2" t="s">
        <v>7</v>
      </c>
      <c r="C11" s="3">
        <v>1303</v>
      </c>
      <c r="D11" s="3">
        <v>669</v>
      </c>
      <c r="F11" s="3">
        <v>1144</v>
      </c>
      <c r="G11" s="3">
        <v>772</v>
      </c>
      <c r="AF11" t="str" cm="1">
        <f t="array" ref="AF11">IF(C11="","",
_xlfn.LET(
  _xlpm.name, B11,
  _xlpm.r, C11:AE11,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_xlpm.coords, _xlfn.TEXTJOIN(", ", TRUE, _xlfn.BYROW(_xlpm.good, _xlfn.LAMBDA(_xlpm.x, "[["&amp;_xlfn.TEXTJOIN("], [", TRUE, _xlpm.x)&amp;"]]"))),
  "    {"&amp;CHAR(10)&amp;
  "      ""type"": ""Feature"","&amp;CHAR(10)&amp;
  "      ""properties"": { ""kind"": ""lift"", ""name"": """&amp;_xlpm.name&amp;""" },"&amp;CHAR(10)&amp;
  "      ""geometry"": { ""type"": ""LineString"", ""coordinates"": ["&amp;
     _xlfn.TEXTJOIN(", ", TRUE, _xlfn.BYROW(_xlpm.good, _xlfn.LAMBDA(_xlpm.x, "["&amp;_xlfn.TEXTJOIN(", ", TRUE, _xlpm.x)&amp;"]")))
  &amp;"] }"&amp;CHAR(10)&amp;
  "    },"
))</f>
        <v xml:space="preserve">    {
      "type": "Feature",
      "properties": { "kind": "lift", "name": "Sky Quad" },
      "geometry": { "type": "LineString", "coordinates": [[1303, 669], [1144, 772]] }
    },</v>
      </c>
    </row>
    <row r="12" spans="2:93" x14ac:dyDescent="0.55000000000000004">
      <c r="B12" s="2" t="s">
        <v>8</v>
      </c>
      <c r="C12" s="3">
        <v>1677</v>
      </c>
      <c r="D12" s="3">
        <v>251</v>
      </c>
      <c r="F12" s="3">
        <v>1636</v>
      </c>
      <c r="G12" s="3">
        <v>416</v>
      </c>
      <c r="AF12" t="str" cm="1">
        <f t="array" ref="AF12">IF(C12="","",
_xlfn.LET(
  _xlpm.name, B12,
  _xlpm.r, C12:AE12,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_xlpm.coords, _xlfn.TEXTJOIN(", ", TRUE, _xlfn.BYROW(_xlpm.good, _xlfn.LAMBDA(_xlpm.x, "[["&amp;_xlfn.TEXTJOIN("], [", TRUE, _xlpm.x)&amp;"]]"))),
  "    {"&amp;CHAR(10)&amp;
  "      ""type"": ""Feature"","&amp;CHAR(10)&amp;
  "      ""properties"": { ""kind"": ""lift"", ""name"": """&amp;_xlpm.name&amp;""" },"&amp;CHAR(10)&amp;
  "      ""geometry"": { ""type"": ""LineString"", ""coordinates"": ["&amp;
     _xlfn.TEXTJOIN(", ", TRUE, _xlfn.BYROW(_xlpm.good, _xlfn.LAMBDA(_xlpm.x, "["&amp;_xlfn.TEXTJOIN(", ", TRUE, _xlpm.x)&amp;"]")))
  &amp;"] }"&amp;CHAR(10)&amp;
  "    },"
))</f>
        <v xml:space="preserve">    {
      "type": "Feature",
      "properties": { "kind": "lift", "name": "Midway Chair" },
      "geometry": { "type": "LineString", "coordinates": [[1677, 251], [1636, 416]] }
    },</v>
      </c>
    </row>
    <row r="13" spans="2:93" x14ac:dyDescent="0.55000000000000004">
      <c r="B13" s="1"/>
      <c r="AF13" t="str" cm="1">
        <f t="array" ref="AF13">IF(C13="","",
_xlfn.LET(
  _xlpm.name, B13,
  _xlpm.r, C13:AE13,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_xlpm.coords, _xlfn.TEXTJOIN(", ", TRUE, _xlfn.BYROW(_xlpm.good, _xlfn.LAMBDA(_xlpm.x, "[["&amp;_xlfn.TEXTJOIN("], [", TRUE, _xlpm.x)&amp;"]]"))),
  "    {"&amp;CHAR(10)&amp;
  "      ""type"": ""Feature"","&amp;CHAR(10)&amp;
  "      ""properties"": { ""kind"": ""lift"", ""name"": """&amp;_xlpm.name&amp;""" },"&amp;CHAR(10)&amp;
  "      ""geometry"": { ""type"": ""LineString"", ""coordinates"": ["&amp;
     _xlfn.TEXTJOIN(", ", TRUE, _xlfn.BYROW(_xlpm.good, _xlfn.LAMBDA(_xlpm.x, "["&amp;_xlfn.TEXTJOIN(", ", TRUE, _xlpm.x)&amp;"]")))
  &amp;"] }"&amp;CHAR(10)&amp;
  "    },"
))</f>
        <v/>
      </c>
    </row>
    <row r="14" spans="2:93" x14ac:dyDescent="0.55000000000000004">
      <c r="AF14" t="str" cm="1">
        <f t="array" ref="AF14">IF(C14="","",
_xlfn.LET(
  _xlpm.name, B14,
  _xlpm.r, C14:AE14,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_xlpm.coords, _xlfn.TEXTJOIN(", ", TRUE, _xlfn.BYROW(_xlpm.good, _xlfn.LAMBDA(_xlpm.x, "[["&amp;_xlfn.TEXTJOIN("], [", TRUE, _xlpm.x)&amp;"]]"))),
  "    {"&amp;CHAR(10)&amp;
  "      ""type"": ""Feature"","&amp;CHAR(10)&amp;
  "      ""properties"": { ""kind"": ""lift"", ""name"": """&amp;_xlpm.name&amp;""" },"&amp;CHAR(10)&amp;
  "      ""geometry"": { ""type"": ""LineString"", ""coordinates"": ["&amp;
     _xlfn.TEXTJOIN(", ", TRUE, _xlfn.BYROW(_xlpm.good, _xlfn.LAMBDA(_xlpm.x, "["&amp;_xlfn.TEXTJOIN(", ", TRUE, _xlpm.x)&amp;"]")))
  &amp;"] }"&amp;CHAR(10)&amp;
  "    },"
))</f>
        <v/>
      </c>
    </row>
    <row r="15" spans="2:93" x14ac:dyDescent="0.55000000000000004">
      <c r="B15" s="5" t="s">
        <v>9</v>
      </c>
      <c r="AF15" t="str" cm="1">
        <f t="array" ref="AF15">IF(C15="","",
_xlfn.LET(
  _xlpm.name, B15,
  _xlpm.r, C15:AE15,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_xlpm.coords, _xlfn.TEXTJOIN(", ", TRUE, _xlfn.BYROW(_xlpm.good, _xlfn.LAMBDA(_xlpm.x, "[["&amp;_xlfn.TEXTJOIN("], [", TRUE, _xlpm.x)&amp;"]]"))),
  "    {"&amp;CHAR(10)&amp;
  "      ""type"": ""Feature"","&amp;CHAR(10)&amp;
  "      ""properties"": { ""kind"": ""lift"", ""name"": """&amp;_xlpm.name&amp;""" },"&amp;CHAR(10)&amp;
  "      ""geometry"": { ""type"": ""LineString"", ""coordinates"": ["&amp;
     _xlfn.TEXTJOIN(", ", TRUE, _xlfn.BYROW(_xlpm.good, _xlfn.LAMBDA(_xlpm.x, "["&amp;_xlfn.TEXTJOIN(", ", TRUE, _xlpm.x)&amp;"]")))
  &amp;"] }"&amp;CHAR(10)&amp;
  "    },"
))</f>
        <v/>
      </c>
    </row>
    <row r="16" spans="2:93" x14ac:dyDescent="0.55000000000000004">
      <c r="B16" s="8" t="s">
        <v>10</v>
      </c>
      <c r="C16" s="3">
        <v>673</v>
      </c>
      <c r="D16" s="3">
        <v>750</v>
      </c>
      <c r="F16" s="3">
        <v>633</v>
      </c>
      <c r="G16" s="3">
        <v>729</v>
      </c>
      <c r="I16" s="3">
        <v>575</v>
      </c>
      <c r="J16" s="3">
        <v>720</v>
      </c>
      <c r="L16" s="3">
        <v>528</v>
      </c>
      <c r="M16" s="3">
        <v>688</v>
      </c>
      <c r="O16" s="3">
        <v>468</v>
      </c>
      <c r="P16" s="3">
        <v>668</v>
      </c>
      <c r="R16" s="3">
        <v>402</v>
      </c>
      <c r="S16" s="3">
        <v>664</v>
      </c>
      <c r="U16" s="3">
        <v>395</v>
      </c>
      <c r="V16" s="3">
        <v>660</v>
      </c>
      <c r="X16" s="3">
        <v>398</v>
      </c>
      <c r="Y16" s="3">
        <v>652</v>
      </c>
      <c r="AA16" s="3">
        <v>427</v>
      </c>
      <c r="AB16" s="3">
        <v>626</v>
      </c>
      <c r="AD16" s="3">
        <v>463</v>
      </c>
      <c r="AE16" s="3">
        <v>603</v>
      </c>
      <c r="AG16" s="3">
        <v>520</v>
      </c>
      <c r="AH16" s="3">
        <v>575</v>
      </c>
      <c r="AJ16" s="3">
        <v>554</v>
      </c>
      <c r="AK16" s="3">
        <v>569</v>
      </c>
      <c r="AM16" s="3">
        <v>632</v>
      </c>
      <c r="AN16" s="3">
        <v>562</v>
      </c>
      <c r="AP16" s="3">
        <v>679</v>
      </c>
      <c r="AQ16" s="3">
        <v>552</v>
      </c>
      <c r="AS16" s="3">
        <v>726</v>
      </c>
      <c r="AT16" s="3">
        <v>532</v>
      </c>
      <c r="AV16" s="3">
        <v>730</v>
      </c>
      <c r="AW16" s="3">
        <v>529</v>
      </c>
      <c r="AY16" s="3">
        <v>756</v>
      </c>
      <c r="AZ16" s="3">
        <v>499</v>
      </c>
      <c r="BB16" s="3">
        <v>813</v>
      </c>
      <c r="BC16" s="3">
        <v>401</v>
      </c>
      <c r="BE16" s="3">
        <v>841</v>
      </c>
      <c r="BF16" s="3">
        <v>370</v>
      </c>
      <c r="BH16" s="3">
        <v>870</v>
      </c>
      <c r="BI16" s="3">
        <v>358</v>
      </c>
      <c r="BK16" s="3">
        <v>892</v>
      </c>
      <c r="BL16" s="3">
        <v>349</v>
      </c>
      <c r="BN16" s="3">
        <v>905</v>
      </c>
      <c r="BO16" s="3">
        <v>347</v>
      </c>
      <c r="CO16" s="7" t="str" cm="1">
        <f t="array" ref="CO16">IF(C16="","",
_xlfn.LET(
  _xlpm.name, B16,
  _xlpm.r, C16:CM16,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"Panorama",
      "tension": 0.8,
      "points": [
        [673, 750],
        [633, 729],
        [575, 720],
        [528, 688],
        [468, 668],
        [402, 664],
        [395, 660],
        [398, 652],
        [427, 626],
        [463, 603],
        [520, 575],
        [554, 569],
        [632, 562],
        [679, 552],
        [726, 532],
        [730, 529],
        [756, 499],
        [813, 401],
        [841, 370],
        [870, 358],
        [892, 349],
        [905, 347]
      ]
    },</v>
      </c>
    </row>
    <row r="17" spans="2:117" x14ac:dyDescent="0.55000000000000004">
      <c r="B17" s="8" t="s">
        <v>11</v>
      </c>
      <c r="C17" s="3">
        <v>490</v>
      </c>
      <c r="D17" s="3">
        <v>573</v>
      </c>
      <c r="F17" s="3">
        <v>520</v>
      </c>
      <c r="G17" s="3">
        <v>523</v>
      </c>
      <c r="I17" s="3">
        <v>529</v>
      </c>
      <c r="J17" s="3">
        <v>513</v>
      </c>
      <c r="L17" s="3">
        <v>548</v>
      </c>
      <c r="M17" s="3">
        <v>507</v>
      </c>
      <c r="O17" s="3">
        <v>594</v>
      </c>
      <c r="P17" s="3">
        <v>503</v>
      </c>
      <c r="R17" s="3">
        <v>623</v>
      </c>
      <c r="S17" s="3">
        <v>498</v>
      </c>
      <c r="U17" s="3">
        <v>676</v>
      </c>
      <c r="V17" s="3">
        <v>477</v>
      </c>
      <c r="X17" s="3">
        <v>718</v>
      </c>
      <c r="Y17" s="3">
        <v>458</v>
      </c>
      <c r="AA17" s="3">
        <v>746</v>
      </c>
      <c r="AB17" s="3">
        <v>443</v>
      </c>
      <c r="AD17" s="3">
        <v>761</v>
      </c>
      <c r="AE17" s="3">
        <v>431</v>
      </c>
      <c r="CO17" s="7" t="str" cm="1">
        <f t="array" ref="CO17">IF(C17="","",
_xlfn.LET(
  _xlpm.name, B17,
  _xlpm.r, C17:CM17,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"Windjammer",
      "tension": 0.8,
      "points": [
        [490, 573],
        [520, 523],
        [529, 513],
        [548, 507],
        [594, 503],
        [623, 498],
        [676, 477],
        [718, 458],
        [746, 443],
        [761, 431]
      ]
    },</v>
      </c>
      <c r="CP17" s="7" t="s">
        <v>106</v>
      </c>
    </row>
    <row r="18" spans="2:117" x14ac:dyDescent="0.55000000000000004">
      <c r="B18" s="8" t="s">
        <v>12</v>
      </c>
      <c r="C18" s="3">
        <v>707</v>
      </c>
      <c r="D18" s="3">
        <v>753</v>
      </c>
      <c r="F18" s="3">
        <v>769</v>
      </c>
      <c r="G18" s="3">
        <v>717</v>
      </c>
      <c r="I18" s="3">
        <v>793</v>
      </c>
      <c r="J18" s="3">
        <v>708</v>
      </c>
      <c r="L18" s="3">
        <v>817</v>
      </c>
      <c r="M18" s="3">
        <v>692</v>
      </c>
      <c r="O18" s="3">
        <v>825</v>
      </c>
      <c r="P18" s="3">
        <v>676</v>
      </c>
      <c r="R18" s="3">
        <v>813</v>
      </c>
      <c r="S18" s="3">
        <v>654</v>
      </c>
      <c r="U18" s="3">
        <v>800</v>
      </c>
      <c r="V18" s="3">
        <v>635</v>
      </c>
      <c r="X18" s="3">
        <v>798</v>
      </c>
      <c r="Y18" s="3">
        <v>627</v>
      </c>
      <c r="AA18" s="3">
        <v>806</v>
      </c>
      <c r="AB18" s="3">
        <v>613</v>
      </c>
      <c r="AD18" s="3">
        <v>843</v>
      </c>
      <c r="AE18" s="3">
        <v>579</v>
      </c>
      <c r="AG18" s="3">
        <v>854</v>
      </c>
      <c r="AH18" s="3">
        <v>579</v>
      </c>
      <c r="AJ18" s="3">
        <v>854</v>
      </c>
      <c r="AK18" s="3">
        <v>567</v>
      </c>
      <c r="AM18" s="3">
        <v>870</v>
      </c>
      <c r="AN18" s="3">
        <v>541</v>
      </c>
      <c r="AP18" s="3">
        <v>890</v>
      </c>
      <c r="AQ18" s="3">
        <v>501</v>
      </c>
      <c r="BE18" s="3"/>
      <c r="CO18" s="7" t="str" cm="1">
        <f t="array" ref="CO18">IF(C18="","",
_xlfn.LET(
  _xlpm.name, B18,
  _xlpm.r, C18:CM18,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"Fork",
      "tension": 0.8,
      "points": [
        [707, 753],
        [769, 717],
        [793, 708],
        [817, 692],
        [825, 676],
        [813, 654],
        [800, 635],
        [798, 627],
        [806, 613],
        [843, 579],
        [854, 579],
        [854, 567],
        [870, 541],
        [890, 501]
      ]
    },</v>
      </c>
      <c r="CP18" s="7" t="s">
        <v>107</v>
      </c>
    </row>
    <row r="19" spans="2:117" x14ac:dyDescent="0.55000000000000004">
      <c r="B19" s="8" t="s">
        <v>13</v>
      </c>
      <c r="C19" s="3">
        <v>890</v>
      </c>
      <c r="D19" s="3">
        <v>501</v>
      </c>
      <c r="F19" s="3">
        <v>903</v>
      </c>
      <c r="G19" s="3">
        <v>480</v>
      </c>
      <c r="H19"/>
      <c r="I19" s="3">
        <v>921</v>
      </c>
      <c r="J19" s="3">
        <v>445</v>
      </c>
      <c r="K19"/>
      <c r="L19" s="3">
        <v>930</v>
      </c>
      <c r="M19" s="3">
        <v>417</v>
      </c>
      <c r="N19"/>
      <c r="O19" s="3">
        <v>932</v>
      </c>
      <c r="P19" s="3">
        <v>387</v>
      </c>
      <c r="Q19"/>
      <c r="R19" s="3">
        <v>930</v>
      </c>
      <c r="S19" s="3">
        <v>372</v>
      </c>
      <c r="CO19" s="7" t="str" cm="1">
        <f t="array" ref="CO19">IF(C19="","",
_xlfn.LET(
  _xlpm.name, B19,
  _xlpm.r, C19:CM19,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"Lower Fork",
      "tension": 0.8,
      "points": [
        [890, 501],
        [903, 480],
        [921, 445],
        [930, 417],
        [932, 387],
        [930, 372]
      ]
    },</v>
      </c>
      <c r="CP19" s="7" t="s">
        <v>108</v>
      </c>
    </row>
    <row r="20" spans="2:117" x14ac:dyDescent="0.55000000000000004">
      <c r="B20" s="8" t="s">
        <v>14</v>
      </c>
      <c r="C20" s="3">
        <v>752</v>
      </c>
      <c r="D20" s="3">
        <v>717</v>
      </c>
      <c r="F20" s="3">
        <v>747</v>
      </c>
      <c r="G20" s="3">
        <v>701</v>
      </c>
      <c r="I20" s="3">
        <v>747</v>
      </c>
      <c r="J20" s="3">
        <v>688</v>
      </c>
      <c r="L20" s="3">
        <v>750</v>
      </c>
      <c r="M20" s="3">
        <v>681</v>
      </c>
      <c r="O20" s="3">
        <v>761</v>
      </c>
      <c r="P20" s="3">
        <v>666</v>
      </c>
      <c r="R20" s="3">
        <v>775</v>
      </c>
      <c r="S20" s="3">
        <v>640</v>
      </c>
      <c r="U20" s="3">
        <v>785</v>
      </c>
      <c r="V20" s="3">
        <v>615</v>
      </c>
      <c r="X20" s="3">
        <v>789</v>
      </c>
      <c r="Y20" s="3">
        <v>595</v>
      </c>
      <c r="AA20" s="3">
        <v>791</v>
      </c>
      <c r="AB20" s="3">
        <v>559</v>
      </c>
      <c r="AD20" s="3">
        <v>787</v>
      </c>
      <c r="AE20" s="3">
        <v>541</v>
      </c>
      <c r="AG20" s="3">
        <v>780</v>
      </c>
      <c r="AH20" s="3">
        <v>528</v>
      </c>
      <c r="CO20" s="7" t="str" cm="1">
        <f t="array" ref="CO20">IF(C20="","",
_xlfn.LET(
  _xlpm.name, B20,
  _xlpm.r, C20:CM20,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"PGS",
      "tension": 0.8,
      "points": [
        [752, 717],
        [747, 701],
        [747, 688],
        [750, 681],
        [761, 666],
        [775, 640],
        [785, 615],
        [789, 595],
        [791, 559],
        [787, 541],
        [780, 528]
      ]
    },</v>
      </c>
      <c r="CP20" s="7" t="s">
        <v>109</v>
      </c>
    </row>
    <row r="21" spans="2:117" x14ac:dyDescent="0.55000000000000004">
      <c r="B21" s="8" t="s">
        <v>15</v>
      </c>
      <c r="C21" s="3">
        <v>853</v>
      </c>
      <c r="D21" s="3">
        <v>537</v>
      </c>
      <c r="F21" s="3">
        <v>863</v>
      </c>
      <c r="G21" s="3">
        <v>510</v>
      </c>
      <c r="I21" s="3">
        <v>865</v>
      </c>
      <c r="J21" s="3">
        <v>487</v>
      </c>
      <c r="L21" s="3">
        <v>865</v>
      </c>
      <c r="M21" s="3">
        <v>476</v>
      </c>
      <c r="O21" s="3">
        <v>872</v>
      </c>
      <c r="P21" s="3">
        <v>458</v>
      </c>
      <c r="R21" s="3">
        <v>888</v>
      </c>
      <c r="S21" s="3">
        <v>426</v>
      </c>
      <c r="U21" s="3">
        <v>909</v>
      </c>
      <c r="V21" s="3">
        <v>387</v>
      </c>
      <c r="X21" s="3">
        <v>925</v>
      </c>
      <c r="Y21" s="3">
        <v>362</v>
      </c>
      <c r="CO21" s="7" t="str" cm="1">
        <f t="array" ref="CO21">IF(C21="","",
_xlfn.LET(
  _xlpm.name, B21,
  _xlpm.r, C21:CM21,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"Cascade",
      "tension": 0.8,
      "points": [
        [853, 537],
        [863, 510],
        [865, 487],
        [865, 476],
        [872, 458],
        [888, 426],
        [909, 387],
        [925, 362]
      ]
    },</v>
      </c>
      <c r="CP21" s="7" t="s">
        <v>110</v>
      </c>
    </row>
    <row r="22" spans="2:117" x14ac:dyDescent="0.55000000000000004">
      <c r="B22" s="8" t="s">
        <v>16</v>
      </c>
      <c r="C22" s="3">
        <v>673</v>
      </c>
      <c r="D22" s="3">
        <v>757</v>
      </c>
      <c r="F22" s="3">
        <v>648</v>
      </c>
      <c r="G22" s="3">
        <v>747</v>
      </c>
      <c r="I22" s="3">
        <v>635</v>
      </c>
      <c r="J22" s="3">
        <v>740</v>
      </c>
      <c r="L22" s="3">
        <v>616</v>
      </c>
      <c r="M22" s="3">
        <v>736</v>
      </c>
      <c r="O22" s="3">
        <v>594</v>
      </c>
      <c r="P22" s="3">
        <v>734</v>
      </c>
      <c r="R22" s="3">
        <v>579</v>
      </c>
      <c r="S22" s="3">
        <v>732</v>
      </c>
      <c r="U22" s="3">
        <v>563</v>
      </c>
      <c r="V22" s="3">
        <v>726</v>
      </c>
      <c r="CO22" s="7" t="str" cm="1">
        <f t="array" ref="CO22">IF(C22="","",
_xlfn.LET(
  _xlpm.name, B22,
  _xlpm.r, C22:CM22,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"Unrun",
      "tension": 0.8,
      "points": [
        [673, 757],
        [648, 747],
        [635, 740],
        [616, 736],
        [594, 734],
        [579, 732],
        [563, 726]
      ]
    },</v>
      </c>
      <c r="CP22" s="7" t="s">
        <v>111</v>
      </c>
    </row>
    <row r="23" spans="2:117" x14ac:dyDescent="0.55000000000000004">
      <c r="B23" s="8" t="s">
        <v>63</v>
      </c>
      <c r="C23" s="3">
        <v>694</v>
      </c>
      <c r="D23" s="3">
        <v>731</v>
      </c>
      <c r="F23" s="3">
        <v>710</v>
      </c>
      <c r="G23" s="3">
        <v>699</v>
      </c>
      <c r="I23" s="3">
        <v>720</v>
      </c>
      <c r="J23" s="3">
        <v>674</v>
      </c>
      <c r="L23" s="3">
        <v>726</v>
      </c>
      <c r="M23" s="3">
        <v>662</v>
      </c>
      <c r="O23" s="3">
        <v>730</v>
      </c>
      <c r="P23" s="3">
        <v>640</v>
      </c>
      <c r="R23" s="3">
        <v>734</v>
      </c>
      <c r="S23" s="3">
        <v>620</v>
      </c>
      <c r="U23" s="3">
        <v>743</v>
      </c>
      <c r="V23" s="3">
        <v>598</v>
      </c>
      <c r="X23" s="3">
        <v>751</v>
      </c>
      <c r="Y23" s="3">
        <v>578</v>
      </c>
      <c r="AA23" s="3">
        <v>761</v>
      </c>
      <c r="AB23" s="3">
        <v>559</v>
      </c>
      <c r="AD23" s="3">
        <v>770</v>
      </c>
      <c r="AE23" s="3">
        <v>540</v>
      </c>
      <c r="CO23" s="7" t="str" cm="1">
        <f t="array" ref="CO23">IF(C23="","",
_xlfn.LET(
  _xlpm.name, B23,
  _xlpm.r, C23:CM23,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"Trumpeter",
      "tension": 0.8,
      "points": [
        [694, 731],
        [710, 699],
        [720, 674],
        [726, 662],
        [730, 640],
        [734, 620],
        [743, 598],
        [751, 578],
        [761, 559],
        [770, 540]
      ]
    },</v>
      </c>
      <c r="CP23" s="7" t="s">
        <v>112</v>
      </c>
    </row>
    <row r="24" spans="2:117" x14ac:dyDescent="0.55000000000000004">
      <c r="B24" s="8" t="s">
        <v>64</v>
      </c>
      <c r="C24" s="3">
        <v>793</v>
      </c>
      <c r="D24" s="3">
        <v>515</v>
      </c>
      <c r="F24" s="3">
        <v>822</v>
      </c>
      <c r="G24" s="3">
        <v>469</v>
      </c>
      <c r="I24" s="3">
        <v>849</v>
      </c>
      <c r="J24" s="3">
        <v>428</v>
      </c>
      <c r="CO24" s="7" t="str" cm="1">
        <f t="array" ref="CO24">IF(C24="","",
_xlfn.LET(
  _xlpm.name, B24,
  _xlpm.r, C24:CM24,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"Lower Trumpeter",
      "tension": 0.8,
      "points": [
        [793, 515],
        [822, 469],
        [849, 428]
      ]
    },</v>
      </c>
      <c r="CP24" s="7" t="s">
        <v>113</v>
      </c>
    </row>
    <row r="25" spans="2:117" x14ac:dyDescent="0.55000000000000004">
      <c r="B25" s="8" t="s">
        <v>65</v>
      </c>
      <c r="C25" s="3">
        <v>701</v>
      </c>
      <c r="D25" s="3">
        <v>669</v>
      </c>
      <c r="F25" s="3">
        <v>698</v>
      </c>
      <c r="G25" s="3">
        <v>648</v>
      </c>
      <c r="I25" s="3">
        <v>701</v>
      </c>
      <c r="J25" s="3">
        <v>625</v>
      </c>
      <c r="L25" s="3">
        <v>709</v>
      </c>
      <c r="M25" s="3">
        <v>596</v>
      </c>
      <c r="O25" s="3">
        <v>716</v>
      </c>
      <c r="P25" s="3">
        <v>569</v>
      </c>
      <c r="R25" s="3">
        <v>718</v>
      </c>
      <c r="S25" s="3">
        <v>562</v>
      </c>
      <c r="U25" s="3">
        <v>718</v>
      </c>
      <c r="V25" s="3">
        <v>554</v>
      </c>
      <c r="CO25" s="7" t="str" cm="1">
        <f t="array" ref="CO25">IF(C25="","",
_xlfn.LET(
  _xlpm.name, B25,
  _xlpm.r, C25:CM25,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"Hose Side",
      "tension": 0.8,
      "points": [
        [701, 669],
        [698, 648],
        [701, 625],
        [709, 596],
        [716, 569],
        [718, 562],
        [718, 554]
      ]
    },</v>
      </c>
      <c r="CP25" s="7" t="s">
        <v>114</v>
      </c>
    </row>
    <row r="26" spans="2:117" x14ac:dyDescent="0.55000000000000004">
      <c r="B26" s="8" t="s">
        <v>66</v>
      </c>
      <c r="C26" s="3">
        <v>686</v>
      </c>
      <c r="D26" s="3">
        <v>741</v>
      </c>
      <c r="F26" s="3">
        <v>689</v>
      </c>
      <c r="G26" s="3">
        <v>711</v>
      </c>
      <c r="I26" s="3">
        <v>689</v>
      </c>
      <c r="J26" s="3">
        <v>682</v>
      </c>
      <c r="L26" s="3">
        <v>685</v>
      </c>
      <c r="M26" s="3">
        <v>665</v>
      </c>
      <c r="O26" s="3">
        <v>680</v>
      </c>
      <c r="P26" s="3">
        <v>649</v>
      </c>
      <c r="R26" s="3">
        <v>672</v>
      </c>
      <c r="S26" s="3">
        <v>613</v>
      </c>
      <c r="U26" s="3">
        <v>669</v>
      </c>
      <c r="V26" s="3">
        <v>589</v>
      </c>
      <c r="X26" s="3">
        <v>674</v>
      </c>
      <c r="Y26" s="3">
        <v>573</v>
      </c>
      <c r="AA26" s="3">
        <v>681</v>
      </c>
      <c r="AB26" s="3">
        <v>562</v>
      </c>
      <c r="CO26" s="7" t="str" cm="1">
        <f t="array" ref="CO26">IF(C26="","",
_xlfn.LET(
  _xlpm.name, B26,
  _xlpm.r, C26:CM26,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"B-Hip",
      "tension": 0.8,
      "points": [
        [686, 741],
        [689, 711],
        [689, 682],
        [685, 665],
        [680, 649],
        [672, 613],
        [669, 589],
        [674, 573],
        [681, 562]
      ]
    },</v>
      </c>
      <c r="CP26" s="7" t="s">
        <v>115</v>
      </c>
    </row>
    <row r="27" spans="2:117" x14ac:dyDescent="0.55000000000000004">
      <c r="B27" s="8" t="s">
        <v>67</v>
      </c>
      <c r="C27" s="3">
        <v>523</v>
      </c>
      <c r="D27" s="3">
        <v>675</v>
      </c>
      <c r="F27" s="3">
        <v>514</v>
      </c>
      <c r="G27" s="3">
        <v>661</v>
      </c>
      <c r="I27" s="3">
        <v>507</v>
      </c>
      <c r="J27" s="3">
        <v>644</v>
      </c>
      <c r="L27" s="3">
        <v>509</v>
      </c>
      <c r="M27" s="3">
        <v>630</v>
      </c>
      <c r="O27" s="3">
        <v>519</v>
      </c>
      <c r="P27" s="3">
        <v>611</v>
      </c>
      <c r="R27" s="3">
        <v>530</v>
      </c>
      <c r="S27" s="3">
        <v>599</v>
      </c>
      <c r="U27" s="3">
        <v>541</v>
      </c>
      <c r="V27" s="3">
        <v>590</v>
      </c>
      <c r="X27" s="3">
        <v>553</v>
      </c>
      <c r="Y27" s="3">
        <v>578</v>
      </c>
      <c r="CO27" s="7" t="str" cm="1">
        <f t="array" ref="CO27">IF(C27="","",
_xlfn.LET(
  _xlpm.name, B27,
  _xlpm.r, C27:CM27,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"Blow-By",
      "tension": 0.8,
      "points": [
        [523, 675],
        [514, 661],
        [507, 644],
        [509, 630],
        [519, 611],
        [530, 599],
        [541, 590],
        [553, 578]
      ]
    },</v>
      </c>
    </row>
    <row r="28" spans="2:117" x14ac:dyDescent="0.55000000000000004">
      <c r="B28" s="8" t="s">
        <v>68</v>
      </c>
      <c r="C28" s="3">
        <v>634</v>
      </c>
      <c r="D28" s="3">
        <v>672</v>
      </c>
      <c r="F28" s="3">
        <v>667</v>
      </c>
      <c r="G28" s="3">
        <v>671</v>
      </c>
      <c r="CO28" s="7" t="str" cm="1">
        <f t="array" ref="CO28">IF(C28="","",
_xlfn.LET(
  _xlpm.name, B28,
  _xlpm.r, C28:CM28,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"Detention Glades",
      "tension": 0.8,
      "points": [
        [634, 672],
        [667, 671]
      ]
    },</v>
      </c>
    </row>
    <row r="29" spans="2:117" x14ac:dyDescent="0.55000000000000004">
      <c r="B29" s="8" t="s">
        <v>17</v>
      </c>
      <c r="C29" s="3">
        <v>1440</v>
      </c>
      <c r="D29" s="3">
        <v>668</v>
      </c>
      <c r="F29" s="3">
        <v>1462</v>
      </c>
      <c r="G29" s="3">
        <v>667</v>
      </c>
      <c r="I29" s="3">
        <v>1482</v>
      </c>
      <c r="J29" s="3">
        <v>665</v>
      </c>
      <c r="L29" s="3">
        <v>1493</v>
      </c>
      <c r="M29" s="3">
        <v>662</v>
      </c>
      <c r="O29" s="3">
        <v>1512</v>
      </c>
      <c r="P29" s="3">
        <v>653</v>
      </c>
      <c r="R29" s="3">
        <v>1531</v>
      </c>
      <c r="S29" s="3">
        <v>649</v>
      </c>
      <c r="U29" s="3">
        <v>1556</v>
      </c>
      <c r="V29" s="3">
        <v>653</v>
      </c>
      <c r="X29" s="3">
        <v>1591</v>
      </c>
      <c r="Y29" s="3">
        <v>661</v>
      </c>
      <c r="AA29" s="3">
        <v>1624</v>
      </c>
      <c r="AB29" s="3">
        <v>656</v>
      </c>
      <c r="AD29" s="3">
        <v>1657</v>
      </c>
      <c r="AE29" s="3">
        <v>639</v>
      </c>
      <c r="AG29" s="3">
        <v>1673</v>
      </c>
      <c r="AH29" s="3">
        <v>628</v>
      </c>
      <c r="AJ29" s="3">
        <v>1681</v>
      </c>
      <c r="AK29" s="3">
        <v>622</v>
      </c>
      <c r="AM29" s="3">
        <v>1680</v>
      </c>
      <c r="AN29" s="3">
        <v>613</v>
      </c>
      <c r="AP29" s="3">
        <v>1674</v>
      </c>
      <c r="AQ29" s="3">
        <v>606</v>
      </c>
      <c r="AS29" s="3">
        <v>1670</v>
      </c>
      <c r="AT29" s="3">
        <v>598</v>
      </c>
      <c r="AV29" s="3">
        <v>1679</v>
      </c>
      <c r="AW29" s="3">
        <v>590</v>
      </c>
      <c r="AY29" s="3">
        <v>1694</v>
      </c>
      <c r="AZ29" s="3">
        <v>583</v>
      </c>
      <c r="BB29" s="3">
        <v>1717</v>
      </c>
      <c r="BC29" s="3">
        <v>572</v>
      </c>
      <c r="BE29" s="3">
        <v>1741</v>
      </c>
      <c r="BF29" s="3">
        <v>560</v>
      </c>
      <c r="BH29" s="3">
        <v>1790</v>
      </c>
      <c r="BI29" s="3">
        <v>527</v>
      </c>
      <c r="BK29" s="3">
        <v>1811</v>
      </c>
      <c r="BL29" s="3">
        <v>499</v>
      </c>
      <c r="BN29" s="3">
        <v>1820</v>
      </c>
      <c r="BO29" s="3">
        <v>468</v>
      </c>
      <c r="BQ29" s="3">
        <v>1807</v>
      </c>
      <c r="BR29" s="3">
        <v>446</v>
      </c>
      <c r="BT29" s="3">
        <v>1781</v>
      </c>
      <c r="BU29" s="3">
        <v>421</v>
      </c>
      <c r="BW29" s="3">
        <v>1776</v>
      </c>
      <c r="BX29" s="3">
        <v>407</v>
      </c>
      <c r="BZ29" s="3">
        <v>1780</v>
      </c>
      <c r="CA29" s="3">
        <v>393</v>
      </c>
      <c r="CC29" s="3">
        <v>1789</v>
      </c>
      <c r="CD29" s="3">
        <v>378</v>
      </c>
      <c r="CF29" s="3">
        <v>1797</v>
      </c>
      <c r="CG29" s="3">
        <v>368</v>
      </c>
      <c r="CI29" s="3">
        <v>1800</v>
      </c>
      <c r="CJ29" s="3">
        <v>355</v>
      </c>
      <c r="CL29" s="3">
        <v>1792</v>
      </c>
      <c r="CM29" s="3">
        <v>343</v>
      </c>
      <c r="CO29" s="3">
        <v>1762</v>
      </c>
      <c r="CP29" s="3">
        <v>330</v>
      </c>
      <c r="CR29" s="3">
        <v>1727</v>
      </c>
      <c r="CS29" s="3">
        <v>316</v>
      </c>
      <c r="CU29" s="3">
        <v>1696</v>
      </c>
      <c r="CV29" s="3">
        <v>303</v>
      </c>
      <c r="CX29" s="3">
        <v>1675</v>
      </c>
      <c r="CY29" s="3">
        <v>291</v>
      </c>
      <c r="DA29" s="3">
        <v>1644</v>
      </c>
      <c r="DB29" s="3">
        <v>272</v>
      </c>
      <c r="DD29" s="3">
        <v>1622</v>
      </c>
      <c r="DE29" s="3">
        <v>255</v>
      </c>
      <c r="DG29" s="3">
        <v>1602</v>
      </c>
      <c r="DH29" s="3">
        <v>237</v>
      </c>
      <c r="DJ29" s="3">
        <v>1592</v>
      </c>
      <c r="DK29" s="3">
        <v>226</v>
      </c>
      <c r="DM29" t="str" cm="1">
        <f t="array" ref="DM29">IF(C29="","",
_xlfn.LET(
  _xlpm.name, B29,
  _xlpm.r, C29:DK29,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"Collins",
      "tension": 0.8,
      "points": [
        [1440, 668],
        [1462, 667],
        [1482, 665],
        [1493, 662],
        [1512, 653],
        [1531, 649],
        [1556, 653],
        [1591, 661],
        [1624, 656],
        [1657, 639],
        [1673, 628],
        [1681, 622],
        [1680, 613],
        [1674, 606],
        [1670, 598],
        [1679, 590],
        [1694, 583],
        [1717, 572],
        [1741, 560],
        [1790, 527],
        [1811, 499],
        [1820, 468],
        [1807, 446],
        [1781, 421],
        [1776, 407],
        [1780, 393],
        [1789, 378],
        [1797, 368],
        [1800, 355],
        [1792, 343],
        [1762, 330],
        [1727, 316],
        [1696, 303],
        [1675, 291],
        [1644, 272],
        [1622, 255],
        [1602, 237],
        [1592, 226]
      ]
    },</v>
      </c>
    </row>
    <row r="30" spans="2:117" x14ac:dyDescent="0.55000000000000004">
      <c r="B30" s="8" t="s">
        <v>18</v>
      </c>
      <c r="C30" s="3">
        <v>1442</v>
      </c>
      <c r="D30" s="3">
        <v>665</v>
      </c>
      <c r="F30" s="3">
        <v>1463</v>
      </c>
      <c r="G30" s="3">
        <v>653</v>
      </c>
      <c r="I30" s="3">
        <v>1471</v>
      </c>
      <c r="J30" s="3">
        <v>636</v>
      </c>
      <c r="L30" s="3">
        <v>1464</v>
      </c>
      <c r="M30" s="3">
        <v>619</v>
      </c>
      <c r="O30" s="3">
        <v>1450</v>
      </c>
      <c r="P30" s="3">
        <v>607</v>
      </c>
      <c r="R30" s="3">
        <v>1433</v>
      </c>
      <c r="S30" s="3">
        <v>592</v>
      </c>
      <c r="U30" s="3">
        <v>1412</v>
      </c>
      <c r="V30" s="3">
        <v>565</v>
      </c>
      <c r="X30" s="3">
        <v>1394</v>
      </c>
      <c r="Y30" s="3">
        <v>552</v>
      </c>
      <c r="AA30" s="3">
        <v>1372</v>
      </c>
      <c r="AB30" s="3">
        <v>541</v>
      </c>
      <c r="AD30" s="3">
        <v>1353</v>
      </c>
      <c r="AE30" s="3">
        <v>513</v>
      </c>
      <c r="AG30" s="3">
        <v>1279</v>
      </c>
      <c r="AH30" s="3">
        <v>410</v>
      </c>
      <c r="AJ30" s="3">
        <v>1260</v>
      </c>
      <c r="AK30" s="3">
        <v>381</v>
      </c>
      <c r="AM30" s="3">
        <v>1252</v>
      </c>
      <c r="AN30" s="3">
        <v>359</v>
      </c>
      <c r="AP30" s="3">
        <v>1256</v>
      </c>
      <c r="AQ30" s="3">
        <v>347</v>
      </c>
      <c r="AS30" s="3">
        <v>1263</v>
      </c>
      <c r="AT30" s="3">
        <v>333</v>
      </c>
      <c r="AV30" s="3">
        <v>1275</v>
      </c>
      <c r="AW30" s="3">
        <v>313</v>
      </c>
      <c r="AY30" s="3">
        <v>1292</v>
      </c>
      <c r="AZ30" s="3">
        <v>297</v>
      </c>
      <c r="BB30" s="3">
        <v>1326</v>
      </c>
      <c r="BC30" s="3">
        <v>295</v>
      </c>
      <c r="BE30" s="3">
        <v>1343</v>
      </c>
      <c r="BF30" s="3">
        <v>291</v>
      </c>
      <c r="BH30" s="3">
        <v>1401</v>
      </c>
      <c r="BI30" s="3">
        <v>263</v>
      </c>
      <c r="BK30" s="3">
        <v>1430</v>
      </c>
      <c r="BL30" s="3">
        <v>257</v>
      </c>
      <c r="BN30" s="3">
        <v>1470</v>
      </c>
      <c r="BO30" s="3">
        <v>247</v>
      </c>
      <c r="BQ30" s="3">
        <v>1493</v>
      </c>
      <c r="BR30" s="3">
        <v>234</v>
      </c>
      <c r="BT30" s="3">
        <v>1527</v>
      </c>
      <c r="BU30" s="3">
        <v>227</v>
      </c>
      <c r="BW30" s="3">
        <v>1551</v>
      </c>
      <c r="BX30" s="3">
        <v>226</v>
      </c>
      <c r="BZ30" s="3"/>
      <c r="CO30" s="7" t="str" cm="1">
        <f t="array" ref="CO30">IF(C30="","",
_xlfn.LET(
  _xlpm.name, B30,
  _xlpm.r, C30:CM30,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"Horizon",
      "tension": 0.8,
      "points": [
        [1442, 665],
        [1463, 653],
        [1471, 636],
        [1464, 619],
        [1450, 607],
        [1433, 592],
        [1412, 565],
        [1394, 552],
        [1372, 541],
        [1353, 513],
        [1279, 410],
        [1260, 381],
        [1252, 359],
        [1256, 347],
        [1263, 333],
        [1275, 313],
        [1292, 297],
        [1326, 295],
        [1343, 291],
        [1401, 263],
        [1430, 257],
        [1470, 247],
        [1493, 234],
        [1527, 227],
        [1551, 226]
      ]
    },</v>
      </c>
    </row>
    <row r="31" spans="2:117" x14ac:dyDescent="0.55000000000000004">
      <c r="B31" s="8" t="s">
        <v>19</v>
      </c>
      <c r="C31" s="3">
        <v>1340</v>
      </c>
      <c r="D31" s="3">
        <v>660</v>
      </c>
      <c r="F31" s="3">
        <v>1351</v>
      </c>
      <c r="G31" s="3">
        <v>651</v>
      </c>
      <c r="I31" s="3">
        <v>1353</v>
      </c>
      <c r="J31" s="3">
        <v>628</v>
      </c>
      <c r="L31" s="3">
        <v>1356</v>
      </c>
      <c r="M31" s="3">
        <v>604</v>
      </c>
      <c r="O31" s="3">
        <v>1355</v>
      </c>
      <c r="P31" s="3">
        <v>589</v>
      </c>
      <c r="R31" s="3">
        <v>1348</v>
      </c>
      <c r="S31" s="3">
        <v>568</v>
      </c>
      <c r="U31" s="3">
        <v>1345</v>
      </c>
      <c r="V31" s="3">
        <v>550</v>
      </c>
      <c r="X31" s="3">
        <v>1347</v>
      </c>
      <c r="Y31" s="3">
        <v>542</v>
      </c>
      <c r="AA31" s="3">
        <v>1353</v>
      </c>
      <c r="AB31" s="3">
        <v>537</v>
      </c>
      <c r="CO31" s="7" t="str" cm="1">
        <f t="array" ref="CO31">IF(C31="","",
_xlfn.LET(
  _xlpm.name, B31,
  _xlpm.r, C31:CM31,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"Humpty Dumpty",
      "tension": 0.8,
      "points": [
        [1340, 660],
        [1351, 651],
        [1353, 628],
        [1356, 604],
        [1355, 589],
        [1348, 568],
        [1345, 550],
        [1347, 542],
        [1353, 537]
      ]
    },</v>
      </c>
    </row>
    <row r="32" spans="2:117" x14ac:dyDescent="0.55000000000000004">
      <c r="B32" s="8" t="s">
        <v>20</v>
      </c>
      <c r="C32" s="3">
        <v>1478</v>
      </c>
      <c r="D32" s="3">
        <v>642</v>
      </c>
      <c r="F32" s="3">
        <v>1486</v>
      </c>
      <c r="G32" s="3">
        <v>636</v>
      </c>
      <c r="I32" s="3">
        <v>1505</v>
      </c>
      <c r="J32" s="3">
        <v>636</v>
      </c>
      <c r="L32" s="3">
        <v>1520</v>
      </c>
      <c r="M32" s="3">
        <v>641</v>
      </c>
      <c r="O32" s="3">
        <v>1537</v>
      </c>
      <c r="P32" s="3">
        <v>647</v>
      </c>
      <c r="R32" s="3">
        <v>1553</v>
      </c>
      <c r="S32" s="3">
        <v>644</v>
      </c>
      <c r="U32" s="3">
        <v>1568</v>
      </c>
      <c r="V32" s="3">
        <v>639</v>
      </c>
      <c r="X32" s="3">
        <v>1591</v>
      </c>
      <c r="Y32" s="3">
        <v>629</v>
      </c>
      <c r="AA32" s="3">
        <v>1613</v>
      </c>
      <c r="AB32" s="3">
        <v>621</v>
      </c>
      <c r="AD32" s="3">
        <v>1634</v>
      </c>
      <c r="AE32" s="3">
        <v>613</v>
      </c>
      <c r="AG32" s="3">
        <v>1659</v>
      </c>
      <c r="AH32" s="3">
        <v>607</v>
      </c>
      <c r="CO32" s="7" t="str" cm="1">
        <f t="array" ref="CO32">IF(C32="","",
_xlfn.LET(
  _xlpm.name, B32,
  _xlpm.r, C32:CM32,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"Cat Track (upper)",
      "tension": 0.8,
      "points": [
        [1478, 642],
        [1486, 636],
        [1505, 636],
        [1520, 641],
        [1537, 647],
        [1553, 644],
        [1568, 639],
        [1591, 629],
        [1613, 621],
        [1634, 613],
        [1659, 607]
      ]
    },</v>
      </c>
    </row>
    <row r="33" spans="2:93" x14ac:dyDescent="0.55000000000000004">
      <c r="B33" s="8" t="s">
        <v>21</v>
      </c>
      <c r="C33" s="3">
        <v>1302</v>
      </c>
      <c r="D33" s="3">
        <v>407</v>
      </c>
      <c r="F33" s="3">
        <v>1309</v>
      </c>
      <c r="G33" s="3">
        <v>391</v>
      </c>
      <c r="I33" s="3">
        <v>1327</v>
      </c>
      <c r="J33" s="3">
        <v>378</v>
      </c>
      <c r="L33" s="3">
        <v>1352</v>
      </c>
      <c r="M33" s="3">
        <v>374</v>
      </c>
      <c r="O33" s="3">
        <v>1386</v>
      </c>
      <c r="P33" s="3">
        <v>372</v>
      </c>
      <c r="R33" s="3">
        <v>1419</v>
      </c>
      <c r="S33" s="3">
        <v>370</v>
      </c>
      <c r="U33" s="3">
        <v>1448</v>
      </c>
      <c r="V33" s="3">
        <v>363</v>
      </c>
      <c r="X33" s="3">
        <v>1464</v>
      </c>
      <c r="Y33" s="3">
        <v>355</v>
      </c>
      <c r="AA33" s="3">
        <v>1482</v>
      </c>
      <c r="AB33" s="3">
        <v>335</v>
      </c>
      <c r="CO33" s="7" t="str" cm="1">
        <f t="array" ref="CO33">IF(C33="","",
_xlfn.LET(
  _xlpm.name, B33,
  _xlpm.r, C33:CM33,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"Primary Power",
      "tension": 0.8,
      "points": [
        [1302, 407],
        [1309, 391],
        [1327, 378],
        [1352, 374],
        [1386, 372],
        [1419, 370],
        [1448, 363],
        [1464, 355],
        [1482, 335]
      ]
    },</v>
      </c>
    </row>
    <row r="34" spans="2:93" x14ac:dyDescent="0.55000000000000004">
      <c r="B34" s="8" t="s">
        <v>22</v>
      </c>
      <c r="C34" s="3">
        <v>1305</v>
      </c>
      <c r="D34" s="3">
        <v>377</v>
      </c>
      <c r="F34" s="3">
        <v>1321</v>
      </c>
      <c r="G34" s="3">
        <v>367</v>
      </c>
      <c r="I34" s="3">
        <v>1332</v>
      </c>
      <c r="J34" s="3">
        <v>351</v>
      </c>
      <c r="L34" s="3">
        <v>1330</v>
      </c>
      <c r="M34" s="3">
        <v>335</v>
      </c>
      <c r="O34" s="3">
        <v>1318</v>
      </c>
      <c r="P34" s="3">
        <v>323</v>
      </c>
      <c r="R34" s="3">
        <v>1313</v>
      </c>
      <c r="S34" s="3">
        <v>312</v>
      </c>
      <c r="U34" s="3">
        <v>1315</v>
      </c>
      <c r="V34" s="3">
        <v>304</v>
      </c>
      <c r="CO34" s="7" t="str" cm="1">
        <f t="array" ref="CO34">IF(C34="","",
_xlfn.LET(
  _xlpm.name, B34,
  _xlpm.r, C34:CM34,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"Horizon By-Pass",
      "tension": 0.8,
      "points": [
        [1305, 377],
        [1321, 367],
        [1332, 351],
        [1330, 335],
        [1318, 323],
        [1313, 312],
        [1315, 304]
      ]
    },</v>
      </c>
    </row>
    <row r="35" spans="2:93" x14ac:dyDescent="0.55000000000000004">
      <c r="B35" s="8" t="s">
        <v>23</v>
      </c>
      <c r="C35" s="3">
        <v>1627</v>
      </c>
      <c r="D35" s="3">
        <v>408</v>
      </c>
      <c r="F35" s="3">
        <v>1628</v>
      </c>
      <c r="G35" s="3">
        <v>396</v>
      </c>
      <c r="I35" s="3">
        <v>1621</v>
      </c>
      <c r="J35" s="3">
        <v>382</v>
      </c>
      <c r="L35" s="3">
        <v>1606</v>
      </c>
      <c r="M35" s="3">
        <v>358</v>
      </c>
      <c r="O35" s="3">
        <v>1599</v>
      </c>
      <c r="P35" s="3">
        <v>335</v>
      </c>
      <c r="R35" s="3">
        <v>1598</v>
      </c>
      <c r="S35" s="3">
        <v>304</v>
      </c>
      <c r="U35" s="3">
        <v>1602</v>
      </c>
      <c r="V35" s="3">
        <v>262</v>
      </c>
      <c r="CO35" s="7" t="str" cm="1">
        <f t="array" ref="CO35">IF(C35="","",
_xlfn.LET(
  _xlpm.name, B35,
  _xlpm.r, C35:CM35,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"Lower Bowen",
      "tension": 0.8,
      "points": [
        [1627, 408],
        [1628, 396],
        [1621, 382],
        [1606, 358],
        [1599, 335],
        [1598, 304],
        [1602, 262]
      ]
    },</v>
      </c>
    </row>
    <row r="36" spans="2:93" x14ac:dyDescent="0.55000000000000004">
      <c r="B36" s="8" t="s">
        <v>24</v>
      </c>
      <c r="C36" s="3">
        <v>1695</v>
      </c>
      <c r="D36" s="3">
        <v>370</v>
      </c>
      <c r="F36" s="3">
        <v>1719</v>
      </c>
      <c r="G36" s="3">
        <v>368</v>
      </c>
      <c r="I36" s="3">
        <v>1750</v>
      </c>
      <c r="J36" s="3">
        <v>366</v>
      </c>
      <c r="L36" s="3">
        <v>1779</v>
      </c>
      <c r="M36" s="3">
        <v>363</v>
      </c>
      <c r="CO36" s="7" t="str" cm="1">
        <f t="array" ref="CO36">IF(C36="","",
_xlfn.LET(
  _xlpm.name, B36,
  _xlpm.r, C36:CM36,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"Hutch",
      "tension": 0.8,
      "points": [
        [1695, 370],
        [1719, 368],
        [1750, 366],
        [1779, 363]
      ]
    },</v>
      </c>
    </row>
    <row r="37" spans="2:93" x14ac:dyDescent="0.55000000000000004">
      <c r="B37" s="8" t="s">
        <v>69</v>
      </c>
      <c r="C37" s="3">
        <v>1437</v>
      </c>
      <c r="D37" s="3">
        <v>659</v>
      </c>
      <c r="F37" s="3">
        <v>1464</v>
      </c>
      <c r="G37" s="3">
        <v>627</v>
      </c>
      <c r="I37" s="3">
        <v>1477</v>
      </c>
      <c r="J37" s="3">
        <v>609</v>
      </c>
      <c r="L37" s="3">
        <v>1497</v>
      </c>
      <c r="M37" s="3">
        <v>571</v>
      </c>
      <c r="O37" s="3">
        <v>1514</v>
      </c>
      <c r="P37" s="3">
        <v>534</v>
      </c>
      <c r="R37" s="3">
        <v>1524</v>
      </c>
      <c r="S37" s="3">
        <v>509</v>
      </c>
      <c r="U37" s="3">
        <v>1536</v>
      </c>
      <c r="V37" s="3">
        <v>492</v>
      </c>
      <c r="CO37" s="7" t="str" cm="1">
        <f t="array" ref="CO37">IF(C37="","",
_xlfn.LET(
  _xlpm.name, B37,
  _xlpm.r, C37:CM37,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"Upper Bowen",
      "tension": 0.8,
      "points": [
        [1437, 659],
        [1464, 627],
        [1477, 609],
        [1497, 571],
        [1514, 534],
        [1524, 509],
        [1536, 492]
      ]
    },</v>
      </c>
    </row>
    <row r="38" spans="2:93" x14ac:dyDescent="0.55000000000000004">
      <c r="B38" s="8" t="s">
        <v>70</v>
      </c>
      <c r="C38" s="3">
        <v>1541</v>
      </c>
      <c r="D38" s="3">
        <v>483</v>
      </c>
      <c r="F38" s="3">
        <v>1562</v>
      </c>
      <c r="G38" s="3">
        <v>449</v>
      </c>
      <c r="I38" s="3">
        <v>1576</v>
      </c>
      <c r="J38" s="3">
        <v>421</v>
      </c>
      <c r="L38" s="3">
        <v>1585</v>
      </c>
      <c r="M38" s="3">
        <v>401</v>
      </c>
      <c r="O38" s="3">
        <v>1589</v>
      </c>
      <c r="P38" s="3">
        <v>387</v>
      </c>
      <c r="R38" s="3">
        <v>1588</v>
      </c>
      <c r="S38" s="3">
        <v>378</v>
      </c>
      <c r="CO38" s="7" t="str" cm="1">
        <f t="array" ref="CO38">IF(C38="","",
_xlfn.LET(
  _xlpm.name, B38,
  _xlpm.r, C38:CM38,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"Bowen Face",
      "tension": 0.8,
      "points": [
        [1541, 483],
        [1562, 449],
        [1576, 421],
        [1585, 401],
        [1589, 387],
        [1588, 378]
      ]
    },</v>
      </c>
    </row>
    <row r="39" spans="2:93" x14ac:dyDescent="0.55000000000000004">
      <c r="B39" s="8" t="s">
        <v>71</v>
      </c>
      <c r="C39" s="3">
        <v>1407</v>
      </c>
      <c r="D39" s="3">
        <v>663</v>
      </c>
      <c r="F39" s="3">
        <v>1411</v>
      </c>
      <c r="G39" s="3">
        <v>624</v>
      </c>
      <c r="I39" s="3">
        <v>1416</v>
      </c>
      <c r="J39" s="3">
        <v>610</v>
      </c>
      <c r="L39" s="3">
        <v>1421</v>
      </c>
      <c r="M39" s="3">
        <v>606</v>
      </c>
      <c r="O39" s="3">
        <v>1427</v>
      </c>
      <c r="P39" s="3">
        <v>604</v>
      </c>
      <c r="CO39" s="7" t="str" cm="1">
        <f t="array" ref="CO39">IF(C39="","",
_xlfn.LET(
  _xlpm.name, B39,
  _xlpm.r, C39:CM39,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"Gibsons",
      "tension": 0.8,
      "points": [
        [1407, 663],
        [1411, 624],
        [1416, 610],
        [1421, 606],
        [1427, 604]
      ]
    },</v>
      </c>
    </row>
    <row r="40" spans="2:93" x14ac:dyDescent="0.55000000000000004">
      <c r="B40" s="8" t="s">
        <v>72</v>
      </c>
      <c r="C40" s="3">
        <v>1416</v>
      </c>
      <c r="D40" s="3">
        <v>553</v>
      </c>
      <c r="F40" s="3">
        <v>1423</v>
      </c>
      <c r="G40" s="3">
        <v>542</v>
      </c>
      <c r="I40" s="3">
        <v>1421</v>
      </c>
      <c r="J40" s="3">
        <v>528</v>
      </c>
      <c r="L40" s="3">
        <v>1412</v>
      </c>
      <c r="M40" s="3">
        <v>517</v>
      </c>
      <c r="CO40" s="7" t="str" cm="1">
        <f t="array" ref="CO40">IF(C40="","",
_xlfn.LET(
  _xlpm.name, B40,
  _xlpm.r, C40:CM40,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"Upper Rainbow",
      "tension": 0.8,
      "points": [
        [1416, 553],
        [1423, 542],
        [1421, 528],
        [1412, 517]
      ]
    },</v>
      </c>
    </row>
    <row r="41" spans="2:93" x14ac:dyDescent="0.55000000000000004">
      <c r="B41" s="8" t="s">
        <v>73</v>
      </c>
      <c r="C41" s="3">
        <v>1438</v>
      </c>
      <c r="D41" s="3">
        <v>493</v>
      </c>
      <c r="F41" s="3">
        <v>1488</v>
      </c>
      <c r="G41" s="3">
        <v>493</v>
      </c>
      <c r="CO41" s="7" t="str" cm="1">
        <f t="array" ref="CO41">IF(C41="","",
_xlfn.LET(
  _xlpm.name, B41,
  _xlpm.r, C41:CM41,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"Bowen West",
      "tension": 0.8,
      "points": [
        [1438, 493],
        [1488, 493]
      ]
    },</v>
      </c>
    </row>
    <row r="42" spans="2:93" x14ac:dyDescent="0.55000000000000004">
      <c r="B42" s="8" t="s">
        <v>25</v>
      </c>
      <c r="C42" s="3">
        <v>1380</v>
      </c>
      <c r="D42" s="3">
        <v>522</v>
      </c>
      <c r="F42" s="3">
        <v>1399</v>
      </c>
      <c r="G42" s="3">
        <v>513</v>
      </c>
      <c r="I42" s="3">
        <v>1414</v>
      </c>
      <c r="J42" s="3">
        <v>498</v>
      </c>
      <c r="L42" s="3">
        <v>1453</v>
      </c>
      <c r="M42" s="3">
        <v>422</v>
      </c>
      <c r="O42" s="3">
        <v>1555</v>
      </c>
      <c r="P42" s="3">
        <v>232</v>
      </c>
      <c r="CO42" s="7" t="str" cm="1">
        <f t="array" ref="CO42">IF(C42="","",
_xlfn.LET(
  _xlpm.name, B42,
  _xlpm.r, C42:CM42,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"Rainbow",
      "tension": 0.8,
      "points": [
        [1380, 522],
        [1399, 513],
        [1414, 498],
        [1453, 422],
        [1555, 232]
      ]
    },</v>
      </c>
    </row>
    <row r="43" spans="2:93" x14ac:dyDescent="0.55000000000000004">
      <c r="B43" s="8" t="s">
        <v>74</v>
      </c>
      <c r="C43" s="3">
        <v>1491</v>
      </c>
      <c r="D43" s="3">
        <v>607</v>
      </c>
      <c r="F43" s="3">
        <v>1506</v>
      </c>
      <c r="G43" s="3">
        <v>595</v>
      </c>
      <c r="I43" s="3">
        <v>1521</v>
      </c>
      <c r="J43" s="3">
        <v>590</v>
      </c>
      <c r="L43" s="3">
        <v>1573</v>
      </c>
      <c r="M43" s="3">
        <v>583</v>
      </c>
      <c r="O43" s="3">
        <v>1602</v>
      </c>
      <c r="P43" s="3">
        <v>573</v>
      </c>
      <c r="R43" s="3">
        <v>1609</v>
      </c>
      <c r="S43" s="3">
        <v>561</v>
      </c>
      <c r="U43" s="3">
        <v>1610</v>
      </c>
      <c r="V43" s="3">
        <v>551</v>
      </c>
      <c r="X43" s="3">
        <v>1621</v>
      </c>
      <c r="Y43" s="3">
        <v>536</v>
      </c>
      <c r="AA43" s="3">
        <v>1646</v>
      </c>
      <c r="AB43" s="3">
        <v>510</v>
      </c>
      <c r="AD43" s="3">
        <v>1694</v>
      </c>
      <c r="AE43" s="3">
        <v>469</v>
      </c>
      <c r="AG43" s="3">
        <v>1751</v>
      </c>
      <c r="AH43" s="3">
        <v>422</v>
      </c>
      <c r="CO43" s="7" t="str" cm="1">
        <f t="array" ref="CO43">IF(C43="","",
_xlfn.LET(
  _xlpm.name, B43,
  _xlpm.r, C43:CM43,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"Slash",
      "tension": 0.8,
      "points": [
        [1491, 607],
        [1506, 595],
        [1521, 590],
        [1573, 583],
        [1602, 573],
        [1609, 561],
        [1610, 551],
        [1621, 536],
        [1646, 510],
        [1694, 469],
        [1751, 422]
      ]
    },</v>
      </c>
    </row>
    <row r="44" spans="2:93" x14ac:dyDescent="0.55000000000000004">
      <c r="B44" s="8" t="s">
        <v>75</v>
      </c>
      <c r="C44" s="3">
        <v>1663</v>
      </c>
      <c r="D44" s="3">
        <v>574</v>
      </c>
      <c r="F44" s="3">
        <v>1722</v>
      </c>
      <c r="G44" s="3">
        <v>523</v>
      </c>
      <c r="I44" s="3">
        <v>1767</v>
      </c>
      <c r="J44" s="3">
        <v>486</v>
      </c>
      <c r="L44" s="3">
        <v>1793</v>
      </c>
      <c r="M44" s="3">
        <v>463</v>
      </c>
      <c r="CO44" s="7" t="str" cm="1">
        <f t="array" ref="CO44">IF(C44="","",
_xlfn.LET(
  _xlpm.name, B44,
  _xlpm.r, C44:CM44,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"Moons",
      "tension": 0.8,
      "points": [
        [1663, 574],
        [1722, 523],
        [1767, 486],
        [1793, 463]
      ]
    },</v>
      </c>
    </row>
    <row r="45" spans="2:93" x14ac:dyDescent="0.55000000000000004">
      <c r="B45" s="8" t="s">
        <v>76</v>
      </c>
      <c r="C45" s="3">
        <v>1512</v>
      </c>
      <c r="D45" s="3">
        <v>612</v>
      </c>
      <c r="F45" s="3">
        <v>1531</v>
      </c>
      <c r="G45" s="3">
        <v>612</v>
      </c>
      <c r="CO45" s="7" t="str" cm="1">
        <f t="array" ref="CO45">IF(C45="","",
_xlfn.LET(
  _xlpm.name, B45,
  _xlpm.r, C45:CM45,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"L.T.D. Glades",
      "tension": 0.8,
      "points": [
        [1512, 612],
        [1531, 612]
      ]
    },</v>
      </c>
    </row>
    <row r="46" spans="2:93" x14ac:dyDescent="0.55000000000000004">
      <c r="B46" s="8" t="s">
        <v>77</v>
      </c>
      <c r="C46" s="3">
        <v>1621</v>
      </c>
      <c r="D46" s="3">
        <v>603</v>
      </c>
      <c r="F46" s="3">
        <v>1655</v>
      </c>
      <c r="G46" s="3">
        <v>590</v>
      </c>
      <c r="CO46" s="7" t="str" cm="1">
        <f t="array" ref="CO46">IF(C46="","",
_xlfn.LET(
  _xlpm.name, B46,
  _xlpm.r, C46:CM46,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"Elevator Glades",
      "tension": 0.8,
      "points": [
        [1621, 603],
        [1655, 590]
      ]
    },</v>
      </c>
    </row>
    <row r="47" spans="2:93" x14ac:dyDescent="0.55000000000000004">
      <c r="B47" s="8" t="s">
        <v>78</v>
      </c>
      <c r="C47" s="3">
        <v>1752</v>
      </c>
      <c r="D47" s="3">
        <v>526</v>
      </c>
      <c r="F47" s="3">
        <v>1778</v>
      </c>
      <c r="G47" s="3">
        <v>504</v>
      </c>
      <c r="CO47" s="7" t="str" cm="1">
        <f t="array" ref="CO47">IF(C47="","",
_xlfn.LET(
  _xlpm.name, B47,
  _xlpm.r, C47:CM47,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"Darkside Glades",
      "tension": 0.8,
      "points": [
        [1752, 526],
        [1778, 504]
      ]
    },</v>
      </c>
    </row>
    <row r="48" spans="2:93" x14ac:dyDescent="0.55000000000000004">
      <c r="B48" s="8" t="s">
        <v>79</v>
      </c>
      <c r="C48" s="3">
        <v>1694</v>
      </c>
      <c r="D48" s="3">
        <v>498</v>
      </c>
      <c r="F48" s="3">
        <v>1721</v>
      </c>
      <c r="G48" s="3">
        <v>498</v>
      </c>
      <c r="CO48" s="7" t="str" cm="1">
        <f t="array" ref="CO48">IF(C48="","",
_xlfn.LET(
  _xlpm.name, B48,
  _xlpm.r, C48:CM48,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"Crater Glades",
      "tension": 0.8,
      "points": [
        [1694, 498],
        [1721, 498]
      ]
    },</v>
      </c>
    </row>
    <row r="49" spans="2:93" x14ac:dyDescent="0.55000000000000004">
      <c r="B49" s="8" t="s">
        <v>80</v>
      </c>
      <c r="C49" s="3">
        <v>1438</v>
      </c>
      <c r="D49" s="3">
        <v>494</v>
      </c>
      <c r="F49" s="3">
        <v>1487</v>
      </c>
      <c r="G49" s="3">
        <v>494</v>
      </c>
      <c r="CO49" s="7" t="str" cm="1">
        <f t="array" ref="CO49">IF(C49="","",
_xlfn.LET(
  _xlpm.name, B49,
  _xlpm.r, C49:CM49,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"Bowen West Glades",
      "tension": 0.8,
      "points": [
        [1438, 494],
        [1487, 494]
      ]
    },</v>
      </c>
    </row>
    <row r="50" spans="2:93" x14ac:dyDescent="0.55000000000000004">
      <c r="B50" s="8" t="s">
        <v>81</v>
      </c>
      <c r="C50" s="3">
        <v>1578</v>
      </c>
      <c r="D50" s="3">
        <v>500</v>
      </c>
      <c r="F50" s="3">
        <v>1621</v>
      </c>
      <c r="G50" s="3">
        <v>500</v>
      </c>
      <c r="CO50" s="7" t="str" cm="1">
        <f t="array" ref="CO50">IF(C50="","",
_xlfn.LET(
  _xlpm.name, B50,
  _xlpm.r, C50:CM50,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"Under the Volcano Glades",
      "tension": 0.8,
      "points": [
        [1578, 500],
        [1621, 500]
      ]
    },</v>
      </c>
    </row>
    <row r="51" spans="2:93" x14ac:dyDescent="0.55000000000000004">
      <c r="B51" s="8" t="s">
        <v>82</v>
      </c>
      <c r="C51" s="3">
        <v>1374</v>
      </c>
      <c r="D51" s="3">
        <v>598</v>
      </c>
      <c r="F51" s="3">
        <v>1405</v>
      </c>
      <c r="G51" s="3">
        <v>598</v>
      </c>
      <c r="CO51" s="7" t="str" cm="1">
        <f t="array" ref="CO51">IF(C51="","",
_xlfn.LET(
  _xlpm.name, B51,
  _xlpm.r, C51:CM51,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"Gibson Glades",
      "tension": 0.8,
      "points": [
        [1374, 598],
        [1405, 598]
      ]
    },</v>
      </c>
    </row>
    <row r="52" spans="2:93" x14ac:dyDescent="0.55000000000000004">
      <c r="B52" s="4" t="s">
        <v>26</v>
      </c>
      <c r="CO52" s="7" t="str" cm="1">
        <f t="array" ref="CO52">IF(C52="","",
_xlfn.LET(
  _xlpm.name, B52,
  _xlpm.r, C52:CM52,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53" spans="2:93" x14ac:dyDescent="0.55000000000000004">
      <c r="B53" s="8" t="s">
        <v>27</v>
      </c>
      <c r="C53" s="3">
        <v>357</v>
      </c>
      <c r="D53" s="3">
        <v>640</v>
      </c>
      <c r="F53" s="3">
        <v>349</v>
      </c>
      <c r="G53" s="3">
        <v>631</v>
      </c>
      <c r="I53" s="3">
        <v>335</v>
      </c>
      <c r="J53" s="3">
        <v>628</v>
      </c>
      <c r="L53" s="3">
        <v>309</v>
      </c>
      <c r="M53" s="3">
        <v>629</v>
      </c>
      <c r="O53" s="3">
        <v>277</v>
      </c>
      <c r="P53" s="3">
        <v>633</v>
      </c>
      <c r="R53" s="3">
        <v>255</v>
      </c>
      <c r="S53" s="3">
        <v>639</v>
      </c>
      <c r="U53" s="3">
        <v>244</v>
      </c>
      <c r="V53" s="3">
        <v>639</v>
      </c>
      <c r="X53" s="3">
        <v>219</v>
      </c>
      <c r="Y53" s="3">
        <v>632</v>
      </c>
      <c r="AA53" s="3">
        <v>165</v>
      </c>
      <c r="AB53" s="3">
        <v>614</v>
      </c>
      <c r="AD53" s="3">
        <v>138</v>
      </c>
      <c r="AE53" s="3">
        <v>601</v>
      </c>
      <c r="AG53" s="3">
        <v>118</v>
      </c>
      <c r="AH53" s="3">
        <v>575</v>
      </c>
      <c r="AJ53" s="3">
        <v>93</v>
      </c>
      <c r="AK53" s="3">
        <v>537</v>
      </c>
      <c r="AM53" s="3">
        <v>68</v>
      </c>
      <c r="AN53" s="3">
        <v>476</v>
      </c>
      <c r="AP53" s="3">
        <v>61</v>
      </c>
      <c r="AQ53" s="3">
        <v>429</v>
      </c>
      <c r="AS53" s="3">
        <v>59</v>
      </c>
      <c r="AT53" s="3">
        <v>366</v>
      </c>
      <c r="AV53" s="3">
        <v>61</v>
      </c>
      <c r="AW53" s="3">
        <v>329</v>
      </c>
      <c r="AY53" s="3">
        <v>69</v>
      </c>
      <c r="AZ53" s="3">
        <v>300</v>
      </c>
      <c r="CO53" s="7" t="str" cm="1">
        <f t="array" ref="CO53">IF(C53="","",
_xlfn.LET(
  _xlpm.name, B53,
  _xlpm.r, C53:CM53,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"Benny's",
      "tension": 0.8,
      "points": [
        [357, 640],
        [349, 631],
        [335, 628],
        [309, 629],
        [277, 633],
        [255, 639],
        [244, 639],
        [219, 632],
        [165, 614],
        [138, 601],
        [118, 575],
        [93, 537],
        [68, 476],
        [61, 429],
        [59, 366],
        [61, 329],
        [69, 300]
      ]
    },</v>
      </c>
    </row>
    <row r="54" spans="2:93" x14ac:dyDescent="0.55000000000000004">
      <c r="B54" s="8" t="s">
        <v>28</v>
      </c>
      <c r="C54" s="3">
        <v>367</v>
      </c>
      <c r="D54" s="3">
        <v>637</v>
      </c>
      <c r="F54" s="3">
        <v>370</v>
      </c>
      <c r="G54" s="3">
        <v>620</v>
      </c>
      <c r="I54" s="3">
        <v>380</v>
      </c>
      <c r="J54" s="3">
        <v>605</v>
      </c>
      <c r="L54" s="3">
        <v>397</v>
      </c>
      <c r="M54" s="3">
        <v>587</v>
      </c>
      <c r="O54" s="3">
        <v>405</v>
      </c>
      <c r="P54" s="3">
        <v>572</v>
      </c>
      <c r="R54" s="3">
        <v>412</v>
      </c>
      <c r="S54" s="3">
        <v>551</v>
      </c>
      <c r="U54" s="3">
        <v>416</v>
      </c>
      <c r="V54" s="3">
        <v>527</v>
      </c>
      <c r="X54" s="3">
        <v>416</v>
      </c>
      <c r="Y54" s="3">
        <v>505</v>
      </c>
      <c r="AA54" s="3">
        <v>408</v>
      </c>
      <c r="AB54" s="3">
        <v>491</v>
      </c>
      <c r="AD54" s="3">
        <v>372</v>
      </c>
      <c r="AE54" s="3">
        <v>444</v>
      </c>
      <c r="AG54" s="3">
        <v>343</v>
      </c>
      <c r="AH54" s="3">
        <v>410</v>
      </c>
      <c r="AJ54" s="3">
        <v>307</v>
      </c>
      <c r="AK54" s="3">
        <v>370</v>
      </c>
      <c r="AM54" s="3">
        <v>281</v>
      </c>
      <c r="AN54" s="3">
        <v>330</v>
      </c>
      <c r="AP54" s="3">
        <v>273</v>
      </c>
      <c r="AQ54" s="3">
        <v>315</v>
      </c>
      <c r="AS54" s="3">
        <v>259</v>
      </c>
      <c r="AT54" s="3">
        <v>302</v>
      </c>
      <c r="AV54" s="3">
        <v>240</v>
      </c>
      <c r="AW54" s="3">
        <v>291</v>
      </c>
      <c r="AY54" s="3">
        <v>211</v>
      </c>
      <c r="AZ54" s="3">
        <v>279</v>
      </c>
      <c r="BB54" s="3">
        <v>190</v>
      </c>
      <c r="BC54" s="3">
        <v>273</v>
      </c>
      <c r="CO54" s="7" t="str" cm="1">
        <f t="array" ref="CO54">IF(C54="","",
_xlfn.LET(
  _xlpm.name, B54,
  _xlpm.r, C54:CM54,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"Crazy Raven",
      "tension": 0.8,
      "points": [
        [367, 637],
        [370, 620],
        [380, 605],
        [397, 587],
        [405, 572],
        [412, 551],
        [416, 527],
        [416, 505],
        [408, 491],
        [372, 444],
        [343, 410],
        [307, 370],
        [281, 330],
        [273, 315],
        [259, 302],
        [240, 291],
        [211, 279],
        [190, 273]
      ]
    },</v>
      </c>
    </row>
    <row r="55" spans="2:93" x14ac:dyDescent="0.55000000000000004">
      <c r="B55" s="8" t="s">
        <v>29</v>
      </c>
      <c r="C55" s="3">
        <v>397</v>
      </c>
      <c r="D55" s="3">
        <v>491</v>
      </c>
      <c r="F55" s="3">
        <v>362</v>
      </c>
      <c r="G55" s="3">
        <v>491</v>
      </c>
      <c r="I55" s="3">
        <v>348</v>
      </c>
      <c r="J55" s="3">
        <v>489</v>
      </c>
      <c r="L55" s="3">
        <v>340</v>
      </c>
      <c r="M55" s="3">
        <v>481</v>
      </c>
      <c r="O55" s="3">
        <v>307</v>
      </c>
      <c r="P55" s="3">
        <v>443</v>
      </c>
      <c r="R55" s="3">
        <v>262</v>
      </c>
      <c r="S55" s="3">
        <v>394</v>
      </c>
      <c r="U55" s="3">
        <v>238</v>
      </c>
      <c r="V55" s="3">
        <v>374</v>
      </c>
      <c r="X55" s="3">
        <v>209</v>
      </c>
      <c r="Y55" s="3">
        <v>347</v>
      </c>
      <c r="AA55" s="3">
        <v>185</v>
      </c>
      <c r="AB55" s="3">
        <v>317</v>
      </c>
      <c r="AD55" s="3">
        <v>162</v>
      </c>
      <c r="AE55" s="3">
        <v>281</v>
      </c>
      <c r="CO55" s="7" t="str" cm="1">
        <f t="array" ref="CO55">IF(C55="","",
_xlfn.LET(
  _xlpm.name, B55,
  _xlpm.r, C55:CM55,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"Lower Coyote 7",
      "tension": 0.8,
      "points": [
        [397, 491],
        [362, 491],
        [348, 489],
        [340, 481],
        [307, 443],
        [262, 394],
        [238, 374],
        [209, 347],
        [185, 317],
        [162, 281]
      ]
    },</v>
      </c>
    </row>
    <row r="56" spans="2:93" x14ac:dyDescent="0.55000000000000004">
      <c r="B56" s="8" t="s">
        <v>30</v>
      </c>
      <c r="C56" s="3">
        <v>653</v>
      </c>
      <c r="D56" s="3">
        <v>477</v>
      </c>
      <c r="F56" s="3">
        <v>662</v>
      </c>
      <c r="G56" s="3">
        <v>461</v>
      </c>
      <c r="I56" s="3">
        <v>665</v>
      </c>
      <c r="J56" s="3">
        <v>446</v>
      </c>
      <c r="L56" s="3">
        <v>657</v>
      </c>
      <c r="M56" s="3">
        <v>429</v>
      </c>
      <c r="O56" s="3">
        <v>641</v>
      </c>
      <c r="P56" s="3">
        <v>413</v>
      </c>
      <c r="R56" s="3">
        <v>619</v>
      </c>
      <c r="S56" s="3">
        <v>395</v>
      </c>
      <c r="U56" s="3">
        <v>590</v>
      </c>
      <c r="V56" s="3">
        <v>375</v>
      </c>
      <c r="X56" s="3">
        <v>544</v>
      </c>
      <c r="Y56" s="3">
        <v>349</v>
      </c>
      <c r="AA56" s="3">
        <v>519</v>
      </c>
      <c r="AB56" s="3">
        <v>338</v>
      </c>
      <c r="AD56" s="3">
        <v>485</v>
      </c>
      <c r="AE56" s="3">
        <v>332</v>
      </c>
      <c r="AG56" s="3">
        <v>404</v>
      </c>
      <c r="AH56" s="3">
        <v>326</v>
      </c>
      <c r="AJ56" s="3">
        <v>342</v>
      </c>
      <c r="AK56" s="3">
        <v>317</v>
      </c>
      <c r="AM56" s="3">
        <v>298</v>
      </c>
      <c r="AN56" s="3">
        <v>306</v>
      </c>
      <c r="AP56" s="3">
        <v>287</v>
      </c>
      <c r="AQ56" s="3">
        <v>294</v>
      </c>
      <c r="AS56" s="3">
        <v>290</v>
      </c>
      <c r="AT56" s="3">
        <v>281</v>
      </c>
      <c r="AV56" s="3">
        <v>298</v>
      </c>
      <c r="AW56" s="3">
        <v>273</v>
      </c>
      <c r="AY56" s="3">
        <v>300</v>
      </c>
      <c r="AZ56" s="3">
        <v>261</v>
      </c>
      <c r="BB56" s="3">
        <v>290</v>
      </c>
      <c r="BC56" s="3">
        <v>249</v>
      </c>
      <c r="BE56" s="3">
        <v>270</v>
      </c>
      <c r="BF56" s="3">
        <v>242</v>
      </c>
      <c r="BH56" s="3">
        <v>235</v>
      </c>
      <c r="BI56" s="3">
        <v>243</v>
      </c>
      <c r="BK56" s="3">
        <v>200</v>
      </c>
      <c r="BL56" s="3">
        <v>256</v>
      </c>
      <c r="BN56" s="3">
        <v>163</v>
      </c>
      <c r="BO56" s="3">
        <v>271</v>
      </c>
      <c r="BQ56" s="3">
        <v>119</v>
      </c>
      <c r="BR56" s="3">
        <v>286</v>
      </c>
      <c r="CO56" s="7" t="str" cm="1">
        <f t="array" ref="CO56">IF(C56="","",
_xlfn.LET(
  _xlpm.name, B56,
  _xlpm.r, C56:CM56,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"3 Bears",
      "tension": 0.8,
      "points": [
        [653, 477],
        [662, 461],
        [665, 446],
        [657, 429],
        [641, 413],
        [619, 395],
        [590, 375],
        [544, 349],
        [519, 338],
        [485, 332],
        [404, 326],
        [342, 317],
        [298, 306],
        [287, 294],
        [290, 281],
        [298, 273],
        [300, 261],
        [290, 249],
        [270, 242],
        [235, 243],
        [200, 256],
        [163, 271],
        [119, 286]
      ]
    },</v>
      </c>
    </row>
    <row r="57" spans="2:93" x14ac:dyDescent="0.55000000000000004">
      <c r="B57" s="8" t="s">
        <v>31</v>
      </c>
      <c r="C57" s="3">
        <v>518</v>
      </c>
      <c r="D57" s="3">
        <v>739</v>
      </c>
      <c r="F57" s="3">
        <v>536</v>
      </c>
      <c r="G57" s="3">
        <v>740</v>
      </c>
      <c r="I57" s="3">
        <v>549</v>
      </c>
      <c r="J57" s="3">
        <v>734</v>
      </c>
      <c r="L57" s="3">
        <v>552</v>
      </c>
      <c r="M57" s="3">
        <v>729</v>
      </c>
      <c r="O57" s="3">
        <v>553</v>
      </c>
      <c r="P57" s="3">
        <v>720</v>
      </c>
      <c r="CO57" s="7" t="str" cm="1">
        <f t="array" ref="CO57">IF(C57="","",
_xlfn.LET(
  _xlpm.name, B57,
  _xlpm.r, C57:CM57,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"Rideout",
      "tension": 0.8,
      "points": [
        [518, 739],
        [536, 740],
        [549, 734],
        [552, 729],
        [553, 720]
      ]
    },</v>
      </c>
    </row>
    <row r="58" spans="2:93" x14ac:dyDescent="0.55000000000000004">
      <c r="B58" s="8" t="s">
        <v>83</v>
      </c>
      <c r="C58" s="3">
        <v>489</v>
      </c>
      <c r="D58" s="3">
        <v>504</v>
      </c>
      <c r="F58" s="3">
        <v>476</v>
      </c>
      <c r="G58" s="3">
        <v>491</v>
      </c>
      <c r="I58" s="3">
        <v>472</v>
      </c>
      <c r="J58" s="3">
        <v>482</v>
      </c>
      <c r="L58" s="3">
        <v>471</v>
      </c>
      <c r="M58" s="3">
        <v>471</v>
      </c>
      <c r="O58" s="3">
        <v>472</v>
      </c>
      <c r="P58" s="3">
        <v>410</v>
      </c>
      <c r="R58" s="3">
        <v>477</v>
      </c>
      <c r="S58" s="3">
        <v>338</v>
      </c>
      <c r="CO58" s="7" t="str" cm="1">
        <f t="array" ref="CO58">IF(C58="","",
_xlfn.LET(
  _xlpm.name, B58,
  _xlpm.r, C58:CM58,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"Bilodeau's Gold",
      "tension": 0.8,
      "points": [
        [489, 504],
        [476, 491],
        [472, 482],
        [471, 471],
        [472, 410],
        [477, 338]
      ]
    },</v>
      </c>
    </row>
    <row r="59" spans="2:93" x14ac:dyDescent="0.55000000000000004">
      <c r="B59" s="8" t="s">
        <v>84</v>
      </c>
      <c r="C59" s="3">
        <v>377</v>
      </c>
      <c r="D59" s="3">
        <v>588</v>
      </c>
      <c r="F59" s="3">
        <v>383</v>
      </c>
      <c r="G59" s="3">
        <v>572</v>
      </c>
      <c r="I59" s="3">
        <v>383</v>
      </c>
      <c r="J59" s="3">
        <v>550</v>
      </c>
      <c r="L59" s="3">
        <v>376</v>
      </c>
      <c r="M59" s="3">
        <v>528</v>
      </c>
      <c r="O59" s="3">
        <v>367</v>
      </c>
      <c r="P59" s="3">
        <v>514</v>
      </c>
      <c r="R59" s="3">
        <v>353</v>
      </c>
      <c r="S59" s="3">
        <v>499</v>
      </c>
      <c r="CO59" s="7" t="str" cm="1">
        <f t="array" ref="CO59">IF(C59="","",
_xlfn.LET(
  _xlpm.name, B59,
  _xlpm.r, C59:CM59,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"Upper Coyote 7",
      "tension": 0.8,
      "points": [
        [377, 588],
        [383, 572],
        [383, 550],
        [376, 528],
        [367, 514],
        [353, 499]
      ]
    },</v>
      </c>
    </row>
    <row r="60" spans="2:93" x14ac:dyDescent="0.55000000000000004">
      <c r="B60" s="8" t="s">
        <v>85</v>
      </c>
      <c r="C60" s="3">
        <v>360</v>
      </c>
      <c r="D60" s="3">
        <v>605</v>
      </c>
      <c r="F60" s="3">
        <v>340</v>
      </c>
      <c r="G60" s="3">
        <v>566</v>
      </c>
      <c r="I60" s="3">
        <v>322</v>
      </c>
      <c r="J60" s="3">
        <v>534</v>
      </c>
      <c r="L60" s="3">
        <v>305</v>
      </c>
      <c r="M60" s="3">
        <v>511</v>
      </c>
      <c r="O60" s="3">
        <v>285</v>
      </c>
      <c r="P60" s="3">
        <v>489</v>
      </c>
      <c r="R60" s="3">
        <v>243</v>
      </c>
      <c r="S60" s="3">
        <v>453</v>
      </c>
      <c r="U60" s="3">
        <v>195</v>
      </c>
      <c r="V60" s="3">
        <v>408</v>
      </c>
      <c r="X60" s="3">
        <v>140</v>
      </c>
      <c r="Y60" s="3">
        <v>353</v>
      </c>
      <c r="AA60" s="3">
        <v>106</v>
      </c>
      <c r="AB60" s="3">
        <v>317</v>
      </c>
      <c r="AD60" s="3">
        <v>84</v>
      </c>
      <c r="AE60" s="3">
        <v>299</v>
      </c>
      <c r="CO60" s="7" t="str" cm="1">
        <f t="array" ref="CO60">IF(C60="","",
_xlfn.LET(
  _xlpm.name, B60,
  _xlpm.r, C60:CM60,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"First Sun",
      "tension": 0.8,
      "points": [
        [360, 605],
        [340, 566],
        [322, 534],
        [305, 511],
        [285, 489],
        [243, 453],
        [195, 408],
        [140, 353],
        [106, 317],
        [84, 299]
      ]
    },</v>
      </c>
    </row>
    <row r="61" spans="2:93" x14ac:dyDescent="0.55000000000000004">
      <c r="B61" s="8" t="s">
        <v>86</v>
      </c>
      <c r="C61" s="3">
        <v>400</v>
      </c>
      <c r="D61" s="3">
        <v>710</v>
      </c>
      <c r="F61" s="3">
        <v>448</v>
      </c>
      <c r="G61" s="3">
        <v>735</v>
      </c>
      <c r="CO61" s="7" t="str" cm="1">
        <f t="array" ref="CO61">IF(C61="","",
_xlfn.LET(
  _xlpm.name, B61,
  _xlpm.r, C61:CM61,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"Shore Glades",
      "tension": 0.8,
      "points": [
        [400, 710],
        [448, 735]
      ]
    },</v>
      </c>
    </row>
    <row r="62" spans="2:93" x14ac:dyDescent="0.55000000000000004">
      <c r="B62" s="8" t="s">
        <v>87</v>
      </c>
      <c r="C62" s="3">
        <v>328</v>
      </c>
      <c r="D62" s="3">
        <v>621</v>
      </c>
      <c r="F62" s="3">
        <v>310</v>
      </c>
      <c r="G62" s="3">
        <v>595</v>
      </c>
      <c r="I62" s="3">
        <v>298</v>
      </c>
      <c r="J62" s="3">
        <v>577</v>
      </c>
      <c r="L62" s="3">
        <v>284</v>
      </c>
      <c r="M62" s="3">
        <v>543</v>
      </c>
      <c r="O62" s="3">
        <v>270</v>
      </c>
      <c r="P62" s="3">
        <v>525</v>
      </c>
      <c r="R62" s="3">
        <v>238</v>
      </c>
      <c r="S62" s="3">
        <v>502</v>
      </c>
      <c r="U62" s="3">
        <v>179</v>
      </c>
      <c r="V62" s="3">
        <v>465</v>
      </c>
      <c r="X62" s="3">
        <v>136</v>
      </c>
      <c r="Y62" s="3">
        <v>431</v>
      </c>
      <c r="AA62" s="3">
        <v>128</v>
      </c>
      <c r="AB62" s="3">
        <v>423</v>
      </c>
      <c r="AD62" s="3">
        <v>110</v>
      </c>
      <c r="AE62" s="3">
        <v>404</v>
      </c>
      <c r="AG62" s="3">
        <v>89</v>
      </c>
      <c r="AH62" s="3">
        <v>387</v>
      </c>
      <c r="AJ62" s="3">
        <v>70</v>
      </c>
      <c r="AK62" s="3">
        <v>379</v>
      </c>
      <c r="CO62" s="7" t="str" cm="1">
        <f t="array" ref="CO62">IF(C62="","",
_xlfn.LET(
  _xlpm.name, B62,
  _xlpm.r, C62:CM62,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"Black on Black",
      "tension": 0.8,
      "points": [
        [328, 621],
        [310, 595],
        [298, 577],
        [284, 543],
        [270, 525],
        [238, 502],
        [179, 465],
        [136, 431],
        [128, 423],
        [110, 404],
        [89, 387],
        [70, 379]
      ]
    },</v>
      </c>
    </row>
    <row r="63" spans="2:93" x14ac:dyDescent="0.55000000000000004">
      <c r="B63" s="8" t="s">
        <v>88</v>
      </c>
      <c r="C63" s="3">
        <v>283</v>
      </c>
      <c r="D63" s="3">
        <v>625</v>
      </c>
      <c r="F63" s="3">
        <v>255</v>
      </c>
      <c r="G63" s="3">
        <v>583</v>
      </c>
      <c r="I63" s="3">
        <v>238</v>
      </c>
      <c r="J63" s="3">
        <v>560</v>
      </c>
      <c r="L63" s="3">
        <v>213</v>
      </c>
      <c r="M63" s="3">
        <v>541</v>
      </c>
      <c r="O63" s="3">
        <v>181</v>
      </c>
      <c r="P63" s="3">
        <v>519</v>
      </c>
      <c r="R63" s="3">
        <v>133</v>
      </c>
      <c r="S63" s="3">
        <v>494</v>
      </c>
      <c r="U63" s="3">
        <v>105</v>
      </c>
      <c r="V63" s="3">
        <v>476</v>
      </c>
      <c r="X63" s="3">
        <v>77</v>
      </c>
      <c r="Y63" s="3">
        <v>451</v>
      </c>
      <c r="CO63" s="7" t="str" cm="1">
        <f t="array" ref="CO63">IF(C63="","",
_xlfn.LET(
  _xlpm.name, B63,
  _xlpm.r, C63:CM63,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"Meteor",
      "tension": 0.8,
      "points": [
        [283, 625],
        [255, 583],
        [238, 560],
        [213, 541],
        [181, 519],
        [133, 494],
        [105, 476],
        [77, 451]
      ]
    },</v>
      </c>
    </row>
    <row r="64" spans="2:93" x14ac:dyDescent="0.55000000000000004">
      <c r="B64" s="8" t="s">
        <v>89</v>
      </c>
      <c r="C64" s="3">
        <v>258</v>
      </c>
      <c r="D64" s="3">
        <v>633</v>
      </c>
      <c r="F64" s="3">
        <v>225</v>
      </c>
      <c r="G64" s="3">
        <v>604</v>
      </c>
      <c r="I64" s="3">
        <v>200</v>
      </c>
      <c r="J64" s="3">
        <v>587</v>
      </c>
      <c r="L64" s="3">
        <v>164</v>
      </c>
      <c r="M64" s="3">
        <v>567</v>
      </c>
      <c r="O64" s="3">
        <v>129</v>
      </c>
      <c r="P64" s="3">
        <v>546</v>
      </c>
      <c r="R64" s="3">
        <v>95</v>
      </c>
      <c r="S64" s="3">
        <v>522</v>
      </c>
      <c r="CO64" s="7" t="str" cm="1">
        <f t="array" ref="CO64">IF(C64="","",
_xlfn.LET(
  _xlpm.name, B64,
  _xlpm.r, C64:CM64,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"Black Fly",
      "tension": 0.8,
      "points": [
        [258, 633],
        [225, 604],
        [200, 587],
        [164, 567],
        [129, 546],
        [95, 522]
      ]
    },</v>
      </c>
    </row>
    <row r="65" spans="2:93" x14ac:dyDescent="0.55000000000000004">
      <c r="B65" s="8" t="s">
        <v>32</v>
      </c>
      <c r="C65" s="3">
        <v>501</v>
      </c>
      <c r="D65" s="3">
        <v>734</v>
      </c>
      <c r="F65" s="3">
        <v>434</v>
      </c>
      <c r="G65" s="3">
        <v>703</v>
      </c>
      <c r="I65" s="3">
        <v>400</v>
      </c>
      <c r="J65" s="3">
        <v>687</v>
      </c>
      <c r="L65" s="3">
        <v>380</v>
      </c>
      <c r="M65" s="3">
        <v>675</v>
      </c>
      <c r="O65" s="3">
        <v>358</v>
      </c>
      <c r="P65" s="3">
        <v>660</v>
      </c>
      <c r="R65" s="3">
        <v>329</v>
      </c>
      <c r="S65" s="3">
        <v>650</v>
      </c>
      <c r="U65" s="3">
        <v>308</v>
      </c>
      <c r="V65" s="3">
        <v>649</v>
      </c>
      <c r="X65" s="3">
        <v>283</v>
      </c>
      <c r="Y65" s="3">
        <v>650</v>
      </c>
      <c r="AA65" s="3">
        <v>257</v>
      </c>
      <c r="AB65" s="3">
        <v>644</v>
      </c>
      <c r="CO65" s="7" t="str" cm="1">
        <f t="array" ref="CO65">IF(C65="","",
_xlfn.LET(
  _xlpm.name, B65,
  _xlpm.r, C65:CM65,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"Shore Line",
      "tension": 0.8,
      "points": [
        [501, 734],
        [434, 703],
        [400, 687],
        [380, 675],
        [358, 660],
        [329, 650],
        [308, 649],
        [283, 650],
        [257, 644]
      ]
    },</v>
      </c>
    </row>
    <row r="66" spans="2:93" x14ac:dyDescent="0.55000000000000004">
      <c r="B66" s="8" t="s">
        <v>33</v>
      </c>
      <c r="C66" s="3">
        <v>1830</v>
      </c>
      <c r="D66" s="3">
        <v>350</v>
      </c>
      <c r="F66" s="3">
        <v>1818</v>
      </c>
      <c r="G66" s="3">
        <v>322</v>
      </c>
      <c r="I66" s="3">
        <v>1807</v>
      </c>
      <c r="J66" s="3">
        <v>304</v>
      </c>
      <c r="L66" s="3">
        <v>1781</v>
      </c>
      <c r="M66" s="3">
        <v>280</v>
      </c>
      <c r="O66" s="3">
        <v>1742</v>
      </c>
      <c r="P66" s="3">
        <v>250</v>
      </c>
      <c r="R66" s="3">
        <v>1730</v>
      </c>
      <c r="S66" s="3">
        <v>239</v>
      </c>
      <c r="CO66" s="7" t="str" cm="1">
        <f t="array" ref="CO66">IF(C66="","",
_xlfn.LET(
  _xlpm.name, B66,
  _xlpm.r, C66:CM66,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"Runway",
      "tension": 0.8,
      "points": [
        [1830, 350],
        [1818, 322],
        [1807, 304],
        [1781, 280],
        [1742, 250],
        [1730, 239]
      ]
    },</v>
      </c>
    </row>
    <row r="67" spans="2:93" x14ac:dyDescent="0.55000000000000004">
      <c r="B67" s="8" t="s">
        <v>34</v>
      </c>
      <c r="C67" s="3">
        <v>1135</v>
      </c>
      <c r="D67" s="3">
        <v>772</v>
      </c>
      <c r="F67" s="3">
        <v>1130</v>
      </c>
      <c r="G67" s="3">
        <v>757</v>
      </c>
      <c r="I67" s="3">
        <v>1130</v>
      </c>
      <c r="J67" s="3">
        <v>739</v>
      </c>
      <c r="L67" s="3">
        <v>1129</v>
      </c>
      <c r="M67" s="3">
        <v>722</v>
      </c>
      <c r="O67" s="3">
        <v>1122</v>
      </c>
      <c r="P67" s="3">
        <v>702</v>
      </c>
      <c r="R67" s="3">
        <v>1116</v>
      </c>
      <c r="S67" s="3">
        <v>689</v>
      </c>
      <c r="U67" s="3">
        <v>1124</v>
      </c>
      <c r="V67" s="3">
        <v>677</v>
      </c>
      <c r="X67" s="3">
        <v>1147</v>
      </c>
      <c r="Y67" s="3">
        <v>670</v>
      </c>
      <c r="AA67" s="3">
        <v>1213</v>
      </c>
      <c r="AB67" s="3">
        <v>671</v>
      </c>
      <c r="AD67" s="3">
        <v>1255</v>
      </c>
      <c r="AE67" s="3">
        <v>670</v>
      </c>
      <c r="AG67" s="3">
        <v>1292</v>
      </c>
      <c r="AH67" s="3">
        <v>668</v>
      </c>
      <c r="CO67" s="7" t="str" cm="1">
        <f t="array" ref="CO67">IF(C67="","",
_xlfn.LET(
  _xlpm.name, B67,
  _xlpm.r, C67:CM67,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"T-33",
      "tension": 0.8,
      "points": [
        [1135, 772],
        [1130, 757],
        [1130, 739],
        [1129, 722],
        [1122, 702],
        [1116, 689],
        [1124, 677],
        [1147, 670],
        [1213, 671],
        [1255, 670],
        [1292, 668]
      ]
    },</v>
      </c>
    </row>
    <row r="68" spans="2:93" x14ac:dyDescent="0.55000000000000004">
      <c r="B68" s="8" t="s">
        <v>35</v>
      </c>
      <c r="C68" s="3">
        <v>1128</v>
      </c>
      <c r="D68" s="3">
        <v>702</v>
      </c>
      <c r="F68" s="3">
        <v>1144</v>
      </c>
      <c r="G68" s="3">
        <v>695</v>
      </c>
      <c r="I68" s="3">
        <v>1154</v>
      </c>
      <c r="J68" s="3">
        <v>686</v>
      </c>
      <c r="L68" s="3">
        <v>1161</v>
      </c>
      <c r="M68" s="3">
        <v>674</v>
      </c>
      <c r="CO68" s="7" t="str" cm="1">
        <f t="array" ref="CO68">IF(C68="","",
_xlfn.LET(
  _xlpm.name, B68,
  _xlpm.r, C68:CM68,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"Horsefly Canyon",
      "tension": 0.8,
      "points": [
        [1128, 702],
        [1144, 695],
        [1154, 686],
        [1161, 674]
      ]
    },</v>
      </c>
    </row>
    <row r="69" spans="2:93" x14ac:dyDescent="0.55000000000000004">
      <c r="B69" s="8" t="s">
        <v>36</v>
      </c>
      <c r="C69" s="3">
        <v>1120</v>
      </c>
      <c r="D69" s="3">
        <v>772</v>
      </c>
      <c r="F69" s="3">
        <v>1100</v>
      </c>
      <c r="G69" s="3">
        <v>761</v>
      </c>
      <c r="I69" s="3">
        <v>1083</v>
      </c>
      <c r="J69" s="3">
        <v>739</v>
      </c>
      <c r="L69" s="3">
        <v>1077</v>
      </c>
      <c r="M69" s="3">
        <v>718</v>
      </c>
      <c r="O69" s="3">
        <v>1083</v>
      </c>
      <c r="P69" s="3">
        <v>703</v>
      </c>
      <c r="R69" s="3">
        <v>1097</v>
      </c>
      <c r="S69" s="3">
        <v>692</v>
      </c>
      <c r="CO69" s="7" t="str" cm="1">
        <f t="array" ref="CO69">IF(C69="","",
_xlfn.LET(
  _xlpm.name, B69,
  _xlpm.r, C69:CM69,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"Glades",
      "tension": 0.8,
      "points": [
        [1120, 772],
        [1100, 761],
        [1083, 739],
        [1077, 718],
        [1083, 703],
        [1097, 692]
      ]
    },</v>
      </c>
    </row>
    <row r="70" spans="2:93" x14ac:dyDescent="0.55000000000000004">
      <c r="B70" s="8" t="s">
        <v>37</v>
      </c>
      <c r="C70" s="3">
        <v>1141</v>
      </c>
      <c r="D70" s="3">
        <v>766</v>
      </c>
      <c r="F70" s="3">
        <v>1142</v>
      </c>
      <c r="G70" s="3">
        <v>750</v>
      </c>
      <c r="I70" s="3">
        <v>1149</v>
      </c>
      <c r="J70" s="3">
        <v>733</v>
      </c>
      <c r="L70" s="3">
        <v>1161</v>
      </c>
      <c r="M70" s="3">
        <v>724</v>
      </c>
      <c r="O70" s="3">
        <v>1179</v>
      </c>
      <c r="P70" s="3">
        <v>720</v>
      </c>
      <c r="CO70" s="7" t="str" cm="1">
        <f t="array" ref="CO70">IF(C70="","",
_xlfn.LET(
  _xlpm.name, B70,
  _xlpm.r, C70:CM70,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"Tomcat",
      "tension": 0.8,
      "points": [
        [1141, 766],
        [1142, 750],
        [1149, 733],
        [1161, 724],
        [1179, 720]
      ]
    },</v>
      </c>
    </row>
    <row r="71" spans="2:93" x14ac:dyDescent="0.55000000000000004">
      <c r="B71" s="8" t="s">
        <v>38</v>
      </c>
      <c r="C71" s="3">
        <v>1154</v>
      </c>
      <c r="D71" s="3">
        <v>775</v>
      </c>
      <c r="F71" s="3">
        <v>1202</v>
      </c>
      <c r="G71" s="3">
        <v>744</v>
      </c>
      <c r="I71" s="3">
        <v>1260</v>
      </c>
      <c r="J71" s="3">
        <v>708</v>
      </c>
      <c r="L71" s="3">
        <v>1291</v>
      </c>
      <c r="M71" s="3">
        <v>689</v>
      </c>
      <c r="O71" s="3">
        <v>1323</v>
      </c>
      <c r="P71" s="3">
        <v>670</v>
      </c>
      <c r="CO71" s="7" t="str" cm="1">
        <f t="array" ref="CO71">IF(C71="","",
_xlfn.LET(
  _xlpm.name, B71,
  _xlpm.r, C71:CM71,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"Ripcord",
      "tension": 0.8,
      "points": [
        [1154, 775],
        [1202, 744],
        [1260, 708],
        [1291, 689],
        [1323, 670]
      ]
    },</v>
      </c>
    </row>
    <row r="72" spans="2:93" x14ac:dyDescent="0.55000000000000004">
      <c r="B72" s="8" t="s">
        <v>90</v>
      </c>
      <c r="C72" s="3">
        <v>1110</v>
      </c>
      <c r="D72" s="3">
        <v>678</v>
      </c>
      <c r="F72" s="3">
        <v>1115</v>
      </c>
      <c r="G72" s="3">
        <v>655</v>
      </c>
      <c r="I72" s="3">
        <v>1115</v>
      </c>
      <c r="J72" s="3">
        <v>641</v>
      </c>
      <c r="L72" s="3">
        <v>1108</v>
      </c>
      <c r="M72" s="3">
        <v>626</v>
      </c>
      <c r="O72" s="3">
        <v>1084</v>
      </c>
      <c r="P72" s="3">
        <v>578</v>
      </c>
      <c r="R72" s="3">
        <v>1081</v>
      </c>
      <c r="S72" s="3">
        <v>550</v>
      </c>
      <c r="U72" s="3">
        <v>1083</v>
      </c>
      <c r="V72" s="3">
        <v>524</v>
      </c>
      <c r="X72" s="3">
        <v>1092</v>
      </c>
      <c r="Y72" s="3">
        <v>497</v>
      </c>
      <c r="AA72" s="3">
        <v>1109</v>
      </c>
      <c r="AB72" s="3">
        <v>466</v>
      </c>
      <c r="AD72" s="3">
        <v>1126</v>
      </c>
      <c r="AE72" s="3">
        <v>434</v>
      </c>
      <c r="AG72" s="3">
        <v>1127</v>
      </c>
      <c r="AH72" s="3">
        <v>425</v>
      </c>
      <c r="AJ72" s="3">
        <v>1123</v>
      </c>
      <c r="AK72" s="3">
        <v>410</v>
      </c>
      <c r="AM72" s="3">
        <v>1113</v>
      </c>
      <c r="AN72" s="3">
        <v>402</v>
      </c>
      <c r="AP72" s="3">
        <v>1107</v>
      </c>
      <c r="AQ72" s="3">
        <v>395</v>
      </c>
      <c r="AS72" s="3">
        <v>1116</v>
      </c>
      <c r="AT72" s="3">
        <v>390</v>
      </c>
      <c r="AV72" s="3">
        <v>1143</v>
      </c>
      <c r="AW72" s="3">
        <v>388</v>
      </c>
      <c r="AY72" s="3">
        <v>1184</v>
      </c>
      <c r="AZ72" s="3">
        <v>391</v>
      </c>
      <c r="BB72" s="3">
        <v>1206</v>
      </c>
      <c r="BC72" s="3">
        <v>389</v>
      </c>
      <c r="BE72" s="3">
        <v>1240</v>
      </c>
      <c r="BF72" s="3">
        <v>382</v>
      </c>
      <c r="CO72" s="7" t="str" cm="1">
        <f t="array" ref="CO72">IF(C72="","",
_xlfn.LET(
  _xlpm.name, B72,
  _xlpm.r, C72:CM72,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"Top Gun",
      "tension": 0.8,
      "points": [
        [1110, 678],
        [1115, 655],
        [1115, 641],
        [1108, 626],
        [1084, 578],
        [1081, 550],
        [1083, 524],
        [1092, 497],
        [1109, 466],
        [1126, 434],
        [1127, 425],
        [1123, 410],
        [1113, 402],
        [1107, 395],
        [1116, 390],
        [1143, 388],
        [1184, 391],
        [1206, 389],
        [1240, 382]
      ]
    },</v>
      </c>
    </row>
    <row r="73" spans="2:93" x14ac:dyDescent="0.55000000000000004">
      <c r="B73" s="8" t="s">
        <v>39</v>
      </c>
      <c r="C73" s="3">
        <v>1652</v>
      </c>
      <c r="D73" s="3">
        <v>416</v>
      </c>
      <c r="F73" s="3">
        <v>1681</v>
      </c>
      <c r="G73" s="3">
        <v>413</v>
      </c>
      <c r="I73" s="3">
        <v>1717</v>
      </c>
      <c r="J73" s="3">
        <v>405</v>
      </c>
      <c r="L73" s="3">
        <v>1738</v>
      </c>
      <c r="M73" s="3">
        <v>399</v>
      </c>
      <c r="O73" s="3">
        <v>1752</v>
      </c>
      <c r="P73" s="3">
        <v>397</v>
      </c>
      <c r="CO73" s="7" t="str" cm="1">
        <f t="array" ref="CO73">IF(C73="","",
_xlfn.LET(
  _xlpm.name, B73,
  _xlpm.r, C73:CM73,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"Shuttle",
      "tension": 0.8,
      "points": [
        [1652, 416],
        [1681, 413],
        [1717, 405],
        [1738, 399],
        [1752, 397]
      ]
    },</v>
      </c>
    </row>
    <row r="74" spans="2:93" x14ac:dyDescent="0.55000000000000004">
      <c r="B74" s="8" t="s">
        <v>40</v>
      </c>
      <c r="C74" s="3">
        <v>1645</v>
      </c>
      <c r="D74" s="3">
        <v>411</v>
      </c>
      <c r="F74" s="3">
        <v>1673</v>
      </c>
      <c r="G74" s="3">
        <v>400</v>
      </c>
      <c r="I74" s="3">
        <v>1700</v>
      </c>
      <c r="J74" s="3">
        <v>391</v>
      </c>
      <c r="L74" s="3">
        <v>1728</v>
      </c>
      <c r="M74" s="3">
        <v>383</v>
      </c>
      <c r="O74" s="3">
        <v>1749</v>
      </c>
      <c r="P74" s="3">
        <v>380</v>
      </c>
      <c r="R74" s="3">
        <v>1767</v>
      </c>
      <c r="S74" s="3">
        <v>380</v>
      </c>
      <c r="CO74" s="7" t="str" cm="1">
        <f t="array" ref="CO74">IF(C74="","",
_xlfn.LET(
  _xlpm.name, B74,
  _xlpm.r, C74:CM74,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"Blaster",
      "tension": 0.8,
      "points": [
        [1645, 411],
        [1673, 400],
        [1700, 391],
        [1728, 383],
        [1749, 380],
        [1767, 380]
      ]
    },</v>
      </c>
    </row>
    <row r="75" spans="2:93" x14ac:dyDescent="0.55000000000000004">
      <c r="B75" s="8" t="s">
        <v>41</v>
      </c>
      <c r="C75" s="3">
        <v>1656</v>
      </c>
      <c r="D75" s="3">
        <v>378</v>
      </c>
      <c r="F75" s="3">
        <v>1686</v>
      </c>
      <c r="G75" s="3">
        <v>371</v>
      </c>
      <c r="I75" s="3">
        <v>1718</v>
      </c>
      <c r="J75" s="3">
        <v>367</v>
      </c>
      <c r="L75" s="3">
        <v>1747</v>
      </c>
      <c r="M75" s="3">
        <v>367</v>
      </c>
      <c r="O75" s="3">
        <v>1779</v>
      </c>
      <c r="P75" s="3">
        <v>363</v>
      </c>
      <c r="CO75" s="7" t="str" cm="1">
        <f t="array" ref="CO75">IF(C75="","",
_xlfn.LET(
  _xlpm.name, B75,
  _xlpm.r, C75:CM75,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"Hut Run",
      "tension": 0.8,
      "points": [
        [1656, 378],
        [1686, 371],
        [1718, 367],
        [1747, 367],
        [1779, 363]
      ]
    },</v>
      </c>
    </row>
    <row r="76" spans="2:93" x14ac:dyDescent="0.55000000000000004">
      <c r="B76" s="8" t="s">
        <v>42</v>
      </c>
      <c r="C76" s="3">
        <v>1662</v>
      </c>
      <c r="D76" s="3">
        <v>368</v>
      </c>
      <c r="F76" s="3">
        <v>1680</v>
      </c>
      <c r="G76" s="3">
        <v>358</v>
      </c>
      <c r="I76" s="3">
        <v>1693</v>
      </c>
      <c r="J76" s="3">
        <v>345</v>
      </c>
      <c r="L76" s="3">
        <v>1689</v>
      </c>
      <c r="M76" s="3">
        <v>329</v>
      </c>
      <c r="O76" s="3">
        <v>1684</v>
      </c>
      <c r="P76" s="3">
        <v>322</v>
      </c>
      <c r="R76" s="3">
        <v>1675</v>
      </c>
      <c r="S76" s="3">
        <v>316</v>
      </c>
      <c r="CO76" s="7" t="str" cm="1">
        <f t="array" ref="CO76">IF(C76="","",
_xlfn.LET(
  _xlpm.name, B76,
  _xlpm.r, C76:CM76,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 xml:space="preserve">    {
      "kind": "trail",
      "name": "Webb-Site",
      "tension": 0.8,
      "points": [
        [1662, 368],
        [1680, 358],
        [1693, 345],
        [1689, 329],
        [1684, 322],
        [1675, 316]
      ]
    },</v>
      </c>
    </row>
    <row r="77" spans="2:93" x14ac:dyDescent="0.55000000000000004">
      <c r="B77" s="9"/>
    </row>
    <row r="78" spans="2:93" x14ac:dyDescent="0.55000000000000004">
      <c r="B78" s="10" t="s">
        <v>116</v>
      </c>
    </row>
    <row r="79" spans="2:93" x14ac:dyDescent="0.55000000000000004">
      <c r="B79" s="4" t="s">
        <v>43</v>
      </c>
      <c r="CO79" s="7" t="str" cm="1">
        <f t="array" ref="CO79">IF(C79="","",
_xlfn.LET(
  _xlpm.name, B79,
  _xlpm.r, C79:CM79,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80" spans="2:93" x14ac:dyDescent="0.55000000000000004">
      <c r="B80" s="4" t="s">
        <v>44</v>
      </c>
      <c r="CO80" s="7" t="str" cm="1">
        <f t="array" ref="CO80">IF(C80="","",
_xlfn.LET(
  _xlpm.name, B80,
  _xlpm.r, C80:CM80,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81" spans="2:93" x14ac:dyDescent="0.55000000000000004">
      <c r="B81" s="4" t="s">
        <v>45</v>
      </c>
      <c r="CO81" s="7" t="str" cm="1">
        <f t="array" ref="CO81">IF(C81="","",
_xlfn.LET(
  _xlpm.name, B81,
  _xlpm.r, C81:CM81,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82" spans="2:93" x14ac:dyDescent="0.55000000000000004">
      <c r="B82" s="4" t="s">
        <v>46</v>
      </c>
      <c r="CO82" s="7" t="str" cm="1">
        <f t="array" ref="CO82">IF(C82="","",
_xlfn.LET(
  _xlpm.name, B82,
  _xlpm.r, C82:CM82,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83" spans="2:93" x14ac:dyDescent="0.55000000000000004">
      <c r="B83" s="4" t="s">
        <v>47</v>
      </c>
      <c r="CO83" s="7" t="str" cm="1">
        <f t="array" ref="CO83">IF(C83="","",
_xlfn.LET(
  _xlpm.name, B83,
  _xlpm.r, C83:CM83,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84" spans="2:93" x14ac:dyDescent="0.55000000000000004">
      <c r="B84" s="4" t="s">
        <v>48</v>
      </c>
      <c r="CO84" s="7" t="str" cm="1">
        <f t="array" ref="CO84">IF(C84="","",
_xlfn.LET(
  _xlpm.name, B84,
  _xlpm.r, C84:CM84,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85" spans="2:93" x14ac:dyDescent="0.55000000000000004">
      <c r="B85" s="4" t="s">
        <v>49</v>
      </c>
      <c r="CO85" s="7" t="str" cm="1">
        <f t="array" ref="CO85">IF(C85="","",
_xlfn.LET(
  _xlpm.name, B85,
  _xlpm.r, C85:CM85,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86" spans="2:93" x14ac:dyDescent="0.55000000000000004">
      <c r="B86" s="4" t="s">
        <v>50</v>
      </c>
      <c r="CO86" s="7" t="str" cm="1">
        <f t="array" ref="CO86">IF(C86="","",
_xlfn.LET(
  _xlpm.name, B86,
  _xlpm.r, C86:CM86,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87" spans="2:93" x14ac:dyDescent="0.55000000000000004">
      <c r="B87" s="4" t="s">
        <v>91</v>
      </c>
      <c r="CO87" s="7" t="str" cm="1">
        <f t="array" ref="CO87">IF(C87="","",
_xlfn.LET(
  _xlpm.name, B87,
  _xlpm.r, C87:CM87,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88" spans="2:93" x14ac:dyDescent="0.55000000000000004">
      <c r="B88" s="4" t="s">
        <v>51</v>
      </c>
      <c r="CO88" s="7" t="str" cm="1">
        <f t="array" ref="CO88">IF(C88="","",
_xlfn.LET(
  _xlpm.name, B88,
  _xlpm.r, C88:CM88,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89" spans="2:93" x14ac:dyDescent="0.55000000000000004">
      <c r="B89" s="4" t="s">
        <v>52</v>
      </c>
      <c r="CO89" s="7" t="str" cm="1">
        <f t="array" ref="CO89">IF(C89="","",
_xlfn.LET(
  _xlpm.name, B89,
  _xlpm.r, C89:CM89,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90" spans="2:93" x14ac:dyDescent="0.55000000000000004">
      <c r="B90" s="4" t="s">
        <v>53</v>
      </c>
      <c r="CO90" s="7" t="str" cm="1">
        <f t="array" ref="CO90">IF(C90="","",
_xlfn.LET(
  _xlpm.name, B90,
  _xlpm.r, C90:CM90,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91" spans="2:93" x14ac:dyDescent="0.55000000000000004">
      <c r="B91" s="4" t="s">
        <v>92</v>
      </c>
      <c r="CO91" s="7" t="str" cm="1">
        <f t="array" ref="CO91">IF(C91="","",
_xlfn.LET(
  _xlpm.name, B91,
  _xlpm.r, C91:CM91,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92" spans="2:93" x14ac:dyDescent="0.55000000000000004">
      <c r="B92" s="4" t="s">
        <v>54</v>
      </c>
      <c r="CO92" s="7" t="str" cm="1">
        <f t="array" ref="CO92">IF(C92="","",
_xlfn.LET(
  _xlpm.name, B92,
  _xlpm.r, C92:CM92,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93" spans="2:93" x14ac:dyDescent="0.55000000000000004">
      <c r="B93" s="4" t="s">
        <v>93</v>
      </c>
      <c r="CO93" s="7" t="str" cm="1">
        <f t="array" ref="CO93">IF(C93="","",
_xlfn.LET(
  _xlpm.name, B93,
  _xlpm.r, C93:CM93,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94" spans="2:93" x14ac:dyDescent="0.55000000000000004">
      <c r="B94" s="4" t="s">
        <v>94</v>
      </c>
      <c r="CO94" s="7" t="str" cm="1">
        <f t="array" ref="CO94">IF(C94="","",
_xlfn.LET(
  _xlpm.name, B94,
  _xlpm.r, C94:CM94,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95" spans="2:93" x14ac:dyDescent="0.55000000000000004">
      <c r="B95" s="4" t="s">
        <v>55</v>
      </c>
      <c r="CO95" s="7" t="str" cm="1">
        <f t="array" ref="CO95">IF(C95="","",
_xlfn.LET(
  _xlpm.name, B95,
  _xlpm.r, C95:CM95,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96" spans="2:93" x14ac:dyDescent="0.55000000000000004">
      <c r="B96" s="4" t="s">
        <v>95</v>
      </c>
      <c r="CO96" s="7" t="str" cm="1">
        <f t="array" ref="CO96">IF(C96="","",
_xlfn.LET(
  _xlpm.name, B96,
  _xlpm.r, C96:CM96,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97" spans="2:93" x14ac:dyDescent="0.55000000000000004">
      <c r="B97" s="4" t="s">
        <v>56</v>
      </c>
      <c r="CO97" s="7" t="str" cm="1">
        <f t="array" ref="CO97">IF(C97="","",
_xlfn.LET(
  _xlpm.name, B97,
  _xlpm.r, C97:CM97,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98" spans="2:93" x14ac:dyDescent="0.55000000000000004">
      <c r="B98" s="4" t="s">
        <v>96</v>
      </c>
      <c r="CO98" s="7" t="str" cm="1">
        <f t="array" ref="CO98">IF(C98="","",
_xlfn.LET(
  _xlpm.name, B98,
  _xlpm.r, C98:CM98,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99" spans="2:93" x14ac:dyDescent="0.55000000000000004">
      <c r="B99" s="4" t="s">
        <v>97</v>
      </c>
      <c r="CO99" s="7" t="str" cm="1">
        <f t="array" ref="CO99">IF(C99="","",
_xlfn.LET(
  _xlpm.name, B99,
  _xlpm.r, C99:CM99,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00" spans="2:93" x14ac:dyDescent="0.55000000000000004">
      <c r="B100" s="4" t="s">
        <v>57</v>
      </c>
      <c r="CO100" s="7" t="str" cm="1">
        <f t="array" ref="CO100">IF(C100="","",
_xlfn.LET(
  _xlpm.name, B100,
  _xlpm.r, C100:CM100,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01" spans="2:93" x14ac:dyDescent="0.55000000000000004">
      <c r="B101" s="4" t="s">
        <v>58</v>
      </c>
      <c r="CO101" s="7" t="str" cm="1">
        <f t="array" ref="CO101">IF(C101="","",
_xlfn.LET(
  _xlpm.name, B101,
  _xlpm.r, C101:CM101,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02" spans="2:93" x14ac:dyDescent="0.55000000000000004">
      <c r="B102" s="4" t="s">
        <v>98</v>
      </c>
      <c r="CO102" s="7" t="str" cm="1">
        <f t="array" ref="CO102">IF(C102="","",
_xlfn.LET(
  _xlpm.name, B102,
  _xlpm.r, C102:CM102,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03" spans="2:93" x14ac:dyDescent="0.55000000000000004">
      <c r="B103" s="4" t="s">
        <v>99</v>
      </c>
      <c r="CO103" s="7" t="str" cm="1">
        <f t="array" ref="CO103">IF(C103="","",
_xlfn.LET(
  _xlpm.name, B103,
  _xlpm.r, C103:CM103,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04" spans="2:93" x14ac:dyDescent="0.55000000000000004">
      <c r="B104" s="4" t="s">
        <v>59</v>
      </c>
      <c r="CO104" s="7" t="str" cm="1">
        <f t="array" ref="CO104">IF(C104="","",
_xlfn.LET(
  _xlpm.name, B104,
  _xlpm.r, C104:CM104,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05" spans="2:93" x14ac:dyDescent="0.55000000000000004">
      <c r="B105" s="4" t="s">
        <v>60</v>
      </c>
      <c r="CO105" s="7" t="str" cm="1">
        <f t="array" ref="CO105">IF(C105="","",
_xlfn.LET(
  _xlpm.name, B105,
  _xlpm.r, C105:CM105,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06" spans="2:93" x14ac:dyDescent="0.55000000000000004">
      <c r="B106" s="4" t="s">
        <v>61</v>
      </c>
      <c r="CO106" s="7" t="str" cm="1">
        <f t="array" ref="CO106">IF(C106="","",
_xlfn.LET(
  _xlpm.name, B106,
  _xlpm.r, C106:CM106,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07" spans="2:93" x14ac:dyDescent="0.55000000000000004">
      <c r="B107" s="4" t="s">
        <v>62</v>
      </c>
      <c r="CO107" s="7" t="str" cm="1">
        <f t="array" ref="CO107">IF(C107="","",
_xlfn.LET(
  _xlpm.name, B107,
  _xlpm.r, C107:CM107,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08" spans="2:93" x14ac:dyDescent="0.55000000000000004">
      <c r="B108" s="4" t="s">
        <v>100</v>
      </c>
      <c r="CO108" s="7" t="str" cm="1">
        <f t="array" ref="CO108">IF(C108="","",
_xlfn.LET(
  _xlpm.name, B108,
  _xlpm.r, C108:CM108,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09" spans="2:93" x14ac:dyDescent="0.55000000000000004">
      <c r="B109" s="4" t="s">
        <v>101</v>
      </c>
      <c r="CO109" s="7" t="str" cm="1">
        <f t="array" ref="CO109">IF(C109="","",
_xlfn.LET(
  _xlpm.name, B109,
  _xlpm.r, C109:CM109,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10" spans="2:93" x14ac:dyDescent="0.55000000000000004">
      <c r="B110" s="4" t="s">
        <v>102</v>
      </c>
      <c r="CO110" s="7" t="str" cm="1">
        <f t="array" ref="CO110">IF(C110="","",
_xlfn.LET(
  _xlpm.name, B110,
  _xlpm.r, C110:CM110,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11" spans="2:93" x14ac:dyDescent="0.55000000000000004">
      <c r="B111" s="4" t="s">
        <v>103</v>
      </c>
      <c r="CO111" s="7" t="str" cm="1">
        <f t="array" ref="CO111">IF(C111="","",
_xlfn.LET(
  _xlpm.name, B111,
  _xlpm.r, C111:CM111,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12" spans="2:93" x14ac:dyDescent="0.55000000000000004">
      <c r="B112" s="4" t="s">
        <v>104</v>
      </c>
      <c r="CO112" s="7" t="str" cm="1">
        <f t="array" ref="CO112">IF(C112="","",
_xlfn.LET(
  _xlpm.name, B112,
  _xlpm.r, C112:CM112,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13" spans="2:93" x14ac:dyDescent="0.55000000000000004">
      <c r="B113" s="4" t="s">
        <v>105</v>
      </c>
      <c r="CO113" s="7" t="str" cm="1">
        <f t="array" ref="CO113">IF(C113="","",
_xlfn.LET(
  _xlpm.name, B113,
  _xlpm.r, C113:CM113,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14" spans="2:93" x14ac:dyDescent="0.55000000000000004">
      <c r="CO114" s="7" t="str" cm="1">
        <f t="array" ref="CO114">IF(C114="","",
_xlfn.LET(
  _xlpm.name, B114,
  _xlpm.r, C114:CM114,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15" spans="2:93" x14ac:dyDescent="0.55000000000000004">
      <c r="CO115" s="7" t="str" cm="1">
        <f t="array" ref="CO115">IF(C115="","",
_xlfn.LET(
  _xlpm.name, B115,
  _xlpm.r, C115:CM115,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16" spans="2:93" x14ac:dyDescent="0.55000000000000004">
      <c r="CO116" s="7" t="str" cm="1">
        <f t="array" ref="CO116">IF(C116="","",
_xlfn.LET(
  _xlpm.name, B116,
  _xlpm.r, C116:CM116,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17" spans="2:93" x14ac:dyDescent="0.55000000000000004">
      <c r="CO117" s="7" t="str" cm="1">
        <f t="array" ref="CO117">IF(C117="","",
_xlfn.LET(
  _xlpm.name, B117,
  _xlpm.r, C117:CM117,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18" spans="2:93" x14ac:dyDescent="0.55000000000000004">
      <c r="CO118" s="7" t="str" cm="1">
        <f t="array" ref="CO118">IF(C118="","",
_xlfn.LET(
  _xlpm.name, B118,
  _xlpm.r, C118:CM118,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19" spans="2:93" x14ac:dyDescent="0.55000000000000004">
      <c r="CO119" s="7" t="str" cm="1">
        <f t="array" ref="CO119">IF(C119="","",
_xlfn.LET(
  _xlpm.name, B119,
  _xlpm.r, C119:CM119,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20" spans="2:93" x14ac:dyDescent="0.55000000000000004">
      <c r="CO120" s="7" t="str" cm="1">
        <f t="array" ref="CO120">IF(C120="","",
_xlfn.LET(
  _xlpm.name, B120,
  _xlpm.r, C120:CM120,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21" spans="2:93" x14ac:dyDescent="0.55000000000000004">
      <c r="CO121" s="7" t="str" cm="1">
        <f t="array" ref="CO121">IF(C121="","",
_xlfn.LET(
  _xlpm.name, B121,
  _xlpm.r, C121:CM121,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22" spans="2:93" x14ac:dyDescent="0.55000000000000004">
      <c r="CO122" s="7" t="str" cm="1">
        <f t="array" ref="CO122">IF(C122="","",
_xlfn.LET(
  _xlpm.name, B122,
  _xlpm.r, C122:CM122,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23" spans="2:93" x14ac:dyDescent="0.55000000000000004">
      <c r="CO123" s="7" t="str" cm="1">
        <f t="array" ref="CO123">IF(C123="","",
_xlfn.LET(
  _xlpm.name, B123,
  _xlpm.r, C123:CM123,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24" spans="2:93" x14ac:dyDescent="0.55000000000000004">
      <c r="CO124" s="7" t="str" cm="1">
        <f t="array" ref="CO124">IF(C124="","",
_xlfn.LET(
  _xlpm.name, B124,
  _xlpm.r, C124:CM124,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25" spans="2:93" x14ac:dyDescent="0.55000000000000004">
      <c r="CO125" s="7" t="str" cm="1">
        <f t="array" ref="CO125">IF(C125="","",
_xlfn.LET(
  _xlpm.name, B125,
  _xlpm.r, C125:CM125,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26" spans="2:93" x14ac:dyDescent="0.55000000000000004">
      <c r="CO126" s="7" t="str" cm="1">
        <f t="array" ref="CO126">IF(C126="","",
_xlfn.LET(
  _xlpm.name, B126,
  _xlpm.r, C126:CM126,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27" spans="2:93" x14ac:dyDescent="0.55000000000000004">
      <c r="CO127" s="7" t="str" cm="1">
        <f t="array" ref="CO127">IF(C127="","",
_xlfn.LET(
  _xlpm.name, B127,
  _xlpm.r, C127:CM127,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28" spans="2:93" x14ac:dyDescent="0.55000000000000004">
      <c r="CO128" s="7" t="str" cm="1">
        <f t="array" ref="CO128">IF(C128="","",
_xlfn.LET(
  _xlpm.name, B128,
  _xlpm.r, C128:CM128,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29" spans="93:93" x14ac:dyDescent="0.55000000000000004">
      <c r="CO129" s="7" t="str" cm="1">
        <f t="array" ref="CO129">IF(C129="","",
_xlfn.LET(
  _xlpm.name, B129,
  _xlpm.r, C129:CM129,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30" spans="93:93" x14ac:dyDescent="0.55000000000000004">
      <c r="CO130" s="7" t="str" cm="1">
        <f t="array" ref="CO130">IF(C130="","",
_xlfn.LET(
  _xlpm.name, B130,
  _xlpm.r, C130:CM130,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31" spans="93:93" x14ac:dyDescent="0.55000000000000004">
      <c r="CO131" s="7" t="str" cm="1">
        <f t="array" ref="CO131">IF(C131="","",
_xlfn.LET(
  _xlpm.name, B131,
  _xlpm.r, C131:CM131,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32" spans="93:93" x14ac:dyDescent="0.55000000000000004">
      <c r="CO132" s="7" t="str" cm="1">
        <f t="array" ref="CO132">IF(C132="","",
_xlfn.LET(
  _xlpm.name, B132,
  _xlpm.r, C132:CM132,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33" spans="93:93" x14ac:dyDescent="0.55000000000000004">
      <c r="CO133" s="7" t="str" cm="1">
        <f t="array" ref="CO133">IF(C133="","",
_xlfn.LET(
  _xlpm.name, B133,
  _xlpm.r, C133:CM133,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34" spans="93:93" x14ac:dyDescent="0.55000000000000004">
      <c r="CO134" s="7" t="str" cm="1">
        <f t="array" ref="CO134">IF(C134="","",
_xlfn.LET(
  _xlpm.name, B134,
  _xlpm.r, C134:CM134,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35" spans="93:93" x14ac:dyDescent="0.55000000000000004">
      <c r="CO135" s="7" t="str" cm="1">
        <f t="array" ref="CO135">IF(C135="","",
_xlfn.LET(
  _xlpm.name, B135,
  _xlpm.r, C135:CM135,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36" spans="93:93" x14ac:dyDescent="0.55000000000000004">
      <c r="CO136" s="7" t="str" cm="1">
        <f t="array" ref="CO136">IF(C136="","",
_xlfn.LET(
  _xlpm.name, B136,
  _xlpm.r, C136:CM136,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37" spans="93:93" x14ac:dyDescent="0.55000000000000004">
      <c r="CO137" s="7" t="str" cm="1">
        <f t="array" ref="CO137">IF(C137="","",
_xlfn.LET(
  _xlpm.name, B137,
  _xlpm.r, C137:CM137,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38" spans="93:93" x14ac:dyDescent="0.55000000000000004">
      <c r="CO138" s="7" t="str" cm="1">
        <f t="array" ref="CO138">IF(C138="","",
_xlfn.LET(
  _xlpm.name, B138,
  _xlpm.r, C138:CM138,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39" spans="93:93" x14ac:dyDescent="0.55000000000000004">
      <c r="CO139" s="7" t="str" cm="1">
        <f t="array" ref="CO139">IF(C139="","",
_xlfn.LET(
  _xlpm.name, B139,
  _xlpm.r, C139:CM139,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40" spans="93:93" x14ac:dyDescent="0.55000000000000004">
      <c r="CO140" s="7" t="str" cm="1">
        <f t="array" ref="CO140">IF(C140="","",
_xlfn.LET(
  _xlpm.name, B140,
  _xlpm.r, C140:CM140,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41" spans="93:93" x14ac:dyDescent="0.55000000000000004">
      <c r="CO141" s="7" t="str" cm="1">
        <f t="array" ref="CO141">IF(C141="","",
_xlfn.LET(
  _xlpm.name, B141,
  _xlpm.r, C141:CM141,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42" spans="93:93" x14ac:dyDescent="0.55000000000000004">
      <c r="CO142" s="7" t="str" cm="1">
        <f t="array" ref="CO142">IF(C142="","",
_xlfn.LET(
  _xlpm.name, B142,
  _xlpm.r, C142:CM142,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43" spans="93:93" x14ac:dyDescent="0.55000000000000004">
      <c r="CO143" s="7" t="str" cm="1">
        <f t="array" ref="CO143">IF(C143="","",
_xlfn.LET(
  _xlpm.name, B143,
  _xlpm.r, C143:CM143,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44" spans="93:93" x14ac:dyDescent="0.55000000000000004">
      <c r="CO144" s="7" t="str" cm="1">
        <f t="array" ref="CO144">IF(C144="","",
_xlfn.LET(
  _xlpm.name, B144,
  _xlpm.r, C144:CM144,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45" spans="93:93" x14ac:dyDescent="0.55000000000000004">
      <c r="CO145" s="7" t="str" cm="1">
        <f t="array" ref="CO145">IF(C145="","",
_xlfn.LET(
  _xlpm.name, B145,
  _xlpm.r, C145:CM145,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46" spans="93:93" x14ac:dyDescent="0.55000000000000004">
      <c r="CO146" s="7" t="str" cm="1">
        <f t="array" ref="CO146">IF(C146="","",
_xlfn.LET(
  _xlpm.name, B146,
  _xlpm.r, C146:CM146,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47" spans="93:93" x14ac:dyDescent="0.55000000000000004">
      <c r="CO147" s="7" t="str" cm="1">
        <f t="array" ref="CO147">IF(C147="","",
_xlfn.LET(
  _xlpm.name, B147,
  _xlpm.r, C147:CM147,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48" spans="93:93" x14ac:dyDescent="0.55000000000000004">
      <c r="CO148" s="7" t="str" cm="1">
        <f t="array" ref="CO148">IF(C148="","",
_xlfn.LET(
  _xlpm.name, B148,
  _xlpm.r, C148:CM148,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49" spans="93:93" x14ac:dyDescent="0.55000000000000004">
      <c r="CO149" s="7" t="str" cm="1">
        <f t="array" ref="CO149">IF(C149="","",
_xlfn.LET(
  _xlpm.name, B149,
  _xlpm.r, C149:CM149,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50" spans="93:93" x14ac:dyDescent="0.55000000000000004">
      <c r="CO150" s="7" t="str" cm="1">
        <f t="array" ref="CO150">IF(C150="","",
_xlfn.LET(
  _xlpm.name, B150,
  _xlpm.r, C150:CM150,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51" spans="93:93" x14ac:dyDescent="0.55000000000000004">
      <c r="CO151" s="7" t="str" cm="1">
        <f t="array" ref="CO151">IF(C151="","",
_xlfn.LET(
  _xlpm.name, B151,
  _xlpm.r, C151:CM151,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52" spans="93:93" x14ac:dyDescent="0.55000000000000004">
      <c r="CO152" s="7" t="str" cm="1">
        <f t="array" ref="CO152">IF(C152="","",
_xlfn.LET(
  _xlpm.name, B152,
  _xlpm.r, C152:CM152,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53" spans="93:93" x14ac:dyDescent="0.55000000000000004">
      <c r="CO153" s="7" t="str" cm="1">
        <f t="array" ref="CO153">IF(C153="","",
_xlfn.LET(
  _xlpm.name, B153,
  _xlpm.r, C153:CM153,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54" spans="93:93" x14ac:dyDescent="0.55000000000000004">
      <c r="CO154" s="7" t="str" cm="1">
        <f t="array" ref="CO154">IF(C154="","",
_xlfn.LET(
  _xlpm.name, B154,
  _xlpm.r, C154:CM154,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55" spans="93:93" x14ac:dyDescent="0.55000000000000004">
      <c r="CO155" s="7" t="str" cm="1">
        <f t="array" ref="CO155">IF(C155="","",
_xlfn.LET(
  _xlpm.name, B155,
  _xlpm.r, C155:CM155,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56" spans="93:93" x14ac:dyDescent="0.55000000000000004">
      <c r="CO156" s="7" t="str" cm="1">
        <f t="array" ref="CO156">IF(C156="","",
_xlfn.LET(
  _xlpm.name, B156,
  _xlpm.r, C156:CM156,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57" spans="93:93" x14ac:dyDescent="0.55000000000000004">
      <c r="CO157" s="7" t="str" cm="1">
        <f t="array" ref="CO157">IF(C157="","",
_xlfn.LET(
  _xlpm.name, B157,
  _xlpm.r, C157:CM157,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58" spans="93:93" x14ac:dyDescent="0.55000000000000004">
      <c r="CO158" s="7" t="str" cm="1">
        <f t="array" ref="CO158">IF(C158="","",
_xlfn.LET(
  _xlpm.name, B158,
  _xlpm.r, C158:CM158,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59" spans="93:93" x14ac:dyDescent="0.55000000000000004">
      <c r="CO159" s="7" t="str" cm="1">
        <f t="array" ref="CO159">IF(C159="","",
_xlfn.LET(
  _xlpm.name, B159,
  _xlpm.r, C159:CM159,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60" spans="93:93" x14ac:dyDescent="0.55000000000000004">
      <c r="CO160" s="7" t="str" cm="1">
        <f t="array" ref="CO160">IF(C160="","",
_xlfn.LET(
  _xlpm.name, B160,
  _xlpm.r, C160:CM160,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61" spans="93:93" x14ac:dyDescent="0.55000000000000004">
      <c r="CO161" s="7" t="str" cm="1">
        <f t="array" ref="CO161">IF(C161="","",
_xlfn.LET(
  _xlpm.name, B161,
  _xlpm.r, C161:CM161,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62" spans="93:93" x14ac:dyDescent="0.55000000000000004">
      <c r="CO162" s="7" t="str" cm="1">
        <f t="array" ref="CO162">IF(C162="","",
_xlfn.LET(
  _xlpm.name, B162,
  _xlpm.r, C162:CM162,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63" spans="93:93" x14ac:dyDescent="0.55000000000000004">
      <c r="CO163" s="7" t="str" cm="1">
        <f t="array" ref="CO163">IF(C163="","",
_xlfn.LET(
  _xlpm.name, B163,
  _xlpm.r, C163:CM163,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64" spans="93:93" x14ac:dyDescent="0.55000000000000004">
      <c r="CO164" s="7" t="str" cm="1">
        <f t="array" ref="CO164">IF(C164="","",
_xlfn.LET(
  _xlpm.name, B164,
  _xlpm.r, C164:CM164,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65" spans="93:93" x14ac:dyDescent="0.55000000000000004">
      <c r="CO165" s="7" t="str" cm="1">
        <f t="array" ref="CO165">IF(C165="","",
_xlfn.LET(
  _xlpm.name, B165,
  _xlpm.r, C165:CM165,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66" spans="93:93" x14ac:dyDescent="0.55000000000000004">
      <c r="CO166" s="7" t="str" cm="1">
        <f t="array" ref="CO166">IF(C166="","",
_xlfn.LET(
  _xlpm.name, B166,
  _xlpm.r, C166:CM166,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67" spans="93:93" x14ac:dyDescent="0.55000000000000004">
      <c r="CO167" s="7" t="str" cm="1">
        <f t="array" ref="CO167">IF(C167="","",
_xlfn.LET(
  _xlpm.name, B167,
  _xlpm.r, C167:CM167,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68" spans="93:93" x14ac:dyDescent="0.55000000000000004">
      <c r="CO168" s="7" t="str" cm="1">
        <f t="array" ref="CO168">IF(C168="","",
_xlfn.LET(
  _xlpm.name, B168,
  _xlpm.r, C168:CM168,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69" spans="93:93" x14ac:dyDescent="0.55000000000000004">
      <c r="CO169" s="7" t="str" cm="1">
        <f t="array" ref="CO169">IF(C169="","",
_xlfn.LET(
  _xlpm.name, B169,
  _xlpm.r, C169:CM169,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70" spans="93:93" x14ac:dyDescent="0.55000000000000004">
      <c r="CO170" s="7" t="str" cm="1">
        <f t="array" ref="CO170">IF(C170="","",
_xlfn.LET(
  _xlpm.name, B170,
  _xlpm.r, C170:CM170,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71" spans="93:93" x14ac:dyDescent="0.55000000000000004">
      <c r="CO171" s="7" t="str" cm="1">
        <f t="array" ref="CO171">IF(C171="","",
_xlfn.LET(
  _xlpm.name, B171,
  _xlpm.r, C171:CM171,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72" spans="93:93" x14ac:dyDescent="0.55000000000000004">
      <c r="CO172" s="7" t="str" cm="1">
        <f t="array" ref="CO172">IF(C172="","",
_xlfn.LET(
  _xlpm.name, B172,
  _xlpm.r, C172:CM172,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73" spans="93:93" x14ac:dyDescent="0.55000000000000004">
      <c r="CO173" s="7" t="str" cm="1">
        <f t="array" ref="CO173">IF(C173="","",
_xlfn.LET(
  _xlpm.name, B173,
  _xlpm.r, C173:CM173,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74" spans="93:93" x14ac:dyDescent="0.55000000000000004">
      <c r="CO174" s="7" t="str" cm="1">
        <f t="array" ref="CO174">IF(C174="","",
_xlfn.LET(
  _xlpm.name, B174,
  _xlpm.r, C174:CM174,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75" spans="93:93" x14ac:dyDescent="0.55000000000000004">
      <c r="CO175" s="7" t="str" cm="1">
        <f t="array" ref="CO175">IF(C175="","",
_xlfn.LET(
  _xlpm.name, B175,
  _xlpm.r, C175:CM175,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76" spans="93:93" x14ac:dyDescent="0.55000000000000004">
      <c r="CO176" s="7" t="str" cm="1">
        <f t="array" ref="CO176">IF(C176="","",
_xlfn.LET(
  _xlpm.name, B176,
  _xlpm.r, C176:CM176,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77" spans="93:93" x14ac:dyDescent="0.55000000000000004">
      <c r="CO177" s="7" t="str" cm="1">
        <f t="array" ref="CO177">IF(C177="","",
_xlfn.LET(
  _xlpm.name, B177,
  _xlpm.r, C177:CM177,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78" spans="93:93" x14ac:dyDescent="0.55000000000000004">
      <c r="CO178" s="7" t="str" cm="1">
        <f t="array" ref="CO178">IF(C178="","",
_xlfn.LET(
  _xlpm.name, B178,
  _xlpm.r, C178:CM178,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79" spans="93:93" x14ac:dyDescent="0.55000000000000004">
      <c r="CO179" s="7" t="str" cm="1">
        <f t="array" ref="CO179">IF(C179="","",
_xlfn.LET(
  _xlpm.name, B179,
  _xlpm.r, C179:CM179,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80" spans="93:93" x14ac:dyDescent="0.55000000000000004">
      <c r="CO180" s="7" t="str" cm="1">
        <f t="array" ref="CO180">IF(C180="","",
_xlfn.LET(
  _xlpm.name, B180,
  _xlpm.r, C180:CM180,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81" spans="93:93" x14ac:dyDescent="0.55000000000000004">
      <c r="CO181" s="7" t="str" cm="1">
        <f t="array" ref="CO181">IF(C181="","",
_xlfn.LET(
  _xlpm.name, B181,
  _xlpm.r, C181:CM181,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82" spans="93:93" x14ac:dyDescent="0.55000000000000004">
      <c r="CO182" s="7" t="str" cm="1">
        <f t="array" ref="CO182">IF(C182="","",
_xlfn.LET(
  _xlpm.name, B182,
  _xlpm.r, C182:CM182,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83" spans="93:93" x14ac:dyDescent="0.55000000000000004">
      <c r="CO183" s="7" t="str" cm="1">
        <f t="array" ref="CO183">IF(C183="","",
_xlfn.LET(
  _xlpm.name, B183,
  _xlpm.r, C183:CM183,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84" spans="93:93" x14ac:dyDescent="0.55000000000000004">
      <c r="CO184" s="7" t="str" cm="1">
        <f t="array" ref="CO184">IF(C184="","",
_xlfn.LET(
  _xlpm.name, B184,
  _xlpm.r, C184:CM184,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85" spans="93:93" x14ac:dyDescent="0.55000000000000004">
      <c r="CO185" s="7" t="str" cm="1">
        <f t="array" ref="CO185">IF(C185="","",
_xlfn.LET(
  _xlpm.name, B185,
  _xlpm.r, C185:CM185,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86" spans="93:93" x14ac:dyDescent="0.55000000000000004">
      <c r="CO186" s="7" t="str" cm="1">
        <f t="array" ref="CO186">IF(C186="","",
_xlfn.LET(
  _xlpm.name, B186,
  _xlpm.r, C186:CM186,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87" spans="93:93" x14ac:dyDescent="0.55000000000000004">
      <c r="CO187" s="7" t="str" cm="1">
        <f t="array" ref="CO187">IF(C187="","",
_xlfn.LET(
  _xlpm.name, B187,
  _xlpm.r, C187:CM187,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88" spans="93:93" x14ac:dyDescent="0.55000000000000004">
      <c r="CO188" s="7" t="str" cm="1">
        <f t="array" ref="CO188">IF(C188="","",
_xlfn.LET(
  _xlpm.name, B188,
  _xlpm.r, C188:CM188,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89" spans="93:93" x14ac:dyDescent="0.55000000000000004">
      <c r="CO189" s="7" t="str" cm="1">
        <f t="array" ref="CO189">IF(C189="","",
_xlfn.LET(
  _xlpm.name, B189,
  _xlpm.r, C189:CM189,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90" spans="93:93" x14ac:dyDescent="0.55000000000000004">
      <c r="CO190" s="7" t="str" cm="1">
        <f t="array" ref="CO190">IF(C190="","",
_xlfn.LET(
  _xlpm.name, B190,
  _xlpm.r, C190:CM190,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91" spans="93:93" x14ac:dyDescent="0.55000000000000004">
      <c r="CO191" s="7" t="str" cm="1">
        <f t="array" ref="CO191">IF(C191="","",
_xlfn.LET(
  _xlpm.name, B191,
  _xlpm.r, C191:CM191,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92" spans="93:93" x14ac:dyDescent="0.55000000000000004">
      <c r="CO192" s="7" t="str" cm="1">
        <f t="array" ref="CO192">IF(C192="","",
_xlfn.LET(
  _xlpm.name, B192,
  _xlpm.r, C192:CM192,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93" spans="93:93" x14ac:dyDescent="0.55000000000000004">
      <c r="CO193" s="7" t="str" cm="1">
        <f t="array" ref="CO193">IF(C193="","",
_xlfn.LET(
  _xlpm.name, B193,
  _xlpm.r, C193:CM193,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94" spans="93:93" x14ac:dyDescent="0.55000000000000004">
      <c r="CO194" s="7" t="str" cm="1">
        <f t="array" ref="CO194">IF(C194="","",
_xlfn.LET(
  _xlpm.name, B194,
  _xlpm.r, C194:CM194,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95" spans="93:93" x14ac:dyDescent="0.55000000000000004">
      <c r="CO195" s="7" t="str" cm="1">
        <f t="array" ref="CO195">IF(C195="","",
_xlfn.LET(
  _xlpm.name, B195,
  _xlpm.r, C195:CM195,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96" spans="93:93" x14ac:dyDescent="0.55000000000000004">
      <c r="CO196" s="7" t="str" cm="1">
        <f t="array" ref="CO196">IF(C196="","",
_xlfn.LET(
  _xlpm.name, B196,
  _xlpm.r, C196:CM196,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97" spans="93:93" x14ac:dyDescent="0.55000000000000004">
      <c r="CO197" s="7" t="str" cm="1">
        <f t="array" ref="CO197">IF(C197="","",
_xlfn.LET(
  _xlpm.name, B197,
  _xlpm.r, C197:CM197,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98" spans="93:93" x14ac:dyDescent="0.55000000000000004">
      <c r="CO198" s="7" t="str" cm="1">
        <f t="array" ref="CO198">IF(C198="","",
_xlfn.LET(
  _xlpm.name, B198,
  _xlpm.r, C198:CM198,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199" spans="93:93" x14ac:dyDescent="0.55000000000000004">
      <c r="CO199" s="7" t="str" cm="1">
        <f t="array" ref="CO199">IF(C199="","",
_xlfn.LET(
  _xlpm.name, B199,
  _xlpm.r, C199:CM199,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200" spans="93:93" x14ac:dyDescent="0.55000000000000004">
      <c r="CO200" s="7" t="str" cm="1">
        <f t="array" ref="CO200">IF(C200="","",
_xlfn.LET(
  _xlpm.name, B200,
  _xlpm.r, C200:CM200,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201" spans="93:93" x14ac:dyDescent="0.55000000000000004">
      <c r="CO201" s="7" t="str" cm="1">
        <f t="array" ref="CO201">IF(C201="","",
_xlfn.LET(
  _xlpm.name, B201,
  _xlpm.r, C201:CM201,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202" spans="93:93" x14ac:dyDescent="0.55000000000000004">
      <c r="CO202" s="7" t="str" cm="1">
        <f t="array" ref="CO202">IF(C202="","",
_xlfn.LET(
  _xlpm.name, B202,
  _xlpm.r, C202:CM202,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203" spans="93:93" x14ac:dyDescent="0.55000000000000004">
      <c r="CO203" s="7" t="str" cm="1">
        <f t="array" ref="CO203">IF(C203="","",
_xlfn.LET(
  _xlpm.name, B203,
  _xlpm.r, C203:CM203,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204" spans="93:93" x14ac:dyDescent="0.55000000000000004">
      <c r="CO204" s="7" t="str" cm="1">
        <f t="array" ref="CO204">IF(C204="","",
_xlfn.LET(
  _xlpm.name, B204,
  _xlpm.r, C204:CM204,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  <row r="205" spans="93:93" x14ac:dyDescent="0.55000000000000004">
      <c r="CO205" s="7" t="str" cm="1">
        <f t="array" ref="CO205">IF(C205="","",
_xlfn.LET(
  _xlpm.name, B205,
  _xlpm.r, C205:CM205,
  _xlpm.k, _xlfn._xlws.FILTER(_xlfn.SEQUENCE(,COLUMNS(_xlpm.r)), MOD(_xlfn.SEQUENCE(,COLUMNS(_xlpm.r)),3)&lt;&gt;0),
  _xlpm.nums, _xlfn.CHOOSECOLS(_xlpm.r, _xlpm.k),
  _xlpm.pairs, _xlfn.WRAPROWS(_xlpm.nums, 2),
  _xlpm.good, _xlfn._xlws.FILTER(_xlpm.pairs, (INDEX(_xlpm.pairs,,1)&lt;&gt;"")*(INDEX(_xlpm.pairs,,2)&lt;&gt;"")),
  _xlpm.points, _xlfn.TEXTJOIN(","&amp;CHAR(10),
           TRUE,
           _xlfn.BYROW(_xlpm.good,
             _xlfn.LAMBDA(_xlpm.x,"        ["&amp;_xlfn.TEXTJOIN(", ",TRUE,_xlpm.x)&amp;"]")
           )
         ),
  "    {"&amp;CHAR(10)&amp;
  "      ""kind"": ""trail"","&amp;CHAR(10)&amp;
  "      ""name"": """&amp;_xlpm.name&amp;""","&amp;CHAR(10)&amp;
  "      ""tension"": 0.8,"&amp;CHAR(10)&amp;
  "      ""points"": ["&amp;CHAR(10)&amp;
       _xlpm.points &amp;CHAR(10)&amp;
  "      ]"&amp;CHAR(10)&amp;
  "    },"
))</f>
        <v/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4E5BA-65CB-4995-BD51-44D3F03BCB81}">
  <dimension ref="A1"/>
  <sheetViews>
    <sheetView topLeftCell="A3" workbookViewId="0">
      <selection activeCell="C5" sqref="C5:C25"/>
    </sheetView>
  </sheetViews>
  <sheetFormatPr defaultRowHeight="14.4" x14ac:dyDescent="0.55000000000000004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Morris</dc:creator>
  <cp:lastModifiedBy>Harry Morris</cp:lastModifiedBy>
  <dcterms:created xsi:type="dcterms:W3CDTF">2026-01-12T01:17:02Z</dcterms:created>
  <dcterms:modified xsi:type="dcterms:W3CDTF">2026-01-13T07:31:43Z</dcterms:modified>
</cp:coreProperties>
</file>